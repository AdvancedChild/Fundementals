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0"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thomsoncorvin/"/>
    </mc:Choice>
  </mc:AlternateContent>
  <xr:revisionPtr revIDLastSave="0" documentId="8_{45DBEF47-2891-654B-B24D-C317A216C1BD}" xr6:coauthVersionLast="47" xr6:coauthVersionMax="47" xr10:uidLastSave="{00000000-0000-0000-0000-000000000000}"/>
  <bookViews>
    <workbookView xWindow="4040" yWindow="660" windowWidth="21180" windowHeight="17180" activeTab="1" xr2:uid="{5977E6B8-2EFA-CD43-9A21-CDC62A79CF91}"/>
  </bookViews>
  <sheets>
    <sheet name="Tracker" sheetId="12" r:id="rId1"/>
    <sheet name="HBook" sheetId="4" r:id="rId2"/>
    <sheet name="QBook" sheetId="7" r:id="rId3"/>
    <sheet name="Statistics" sheetId="6" r:id="rId4"/>
    <sheet name="HData" sheetId="2" r:id="rId5"/>
    <sheet name="QData" sheetId="8" r:id="rId6"/>
    <sheet name="12QData" sheetId="5" r:id="rId7"/>
  </sheets>
  <definedNames>
    <definedName name="_xleta.AND" hidden="1" xlm="1">#NAME?</definedName>
    <definedName name="_xleta.DISC" hidden="1" xlm="1">#NAME?</definedName>
    <definedName name="_xleta.FIXED" hidden="1" xlm="1">#NAME?</definedName>
    <definedName name="_xleta.RANK.AVG" hidden="1" xlm="1">#NAME?</definedName>
    <definedName name="_xleta.RATE" hidden="1" xlm="1">#NAME?</definedName>
    <definedName name="_xleta.STOCKHISTORY" hidden="1" xlm="1">#NAME?</definedName>
    <definedName name="_xleta.SUM" hidden="1" xlm="1">#NAME?</definedName>
    <definedName name="_xleta.T" hidden="1" xlm="1">#NAME?</definedName>
    <definedName name="BalanceSheet" localSheetId="5">QData!$CK$56:$DF$218</definedName>
    <definedName name="CashFlow" localSheetId="5">QData!$BO$116:$CJ$267</definedName>
    <definedName name="ExternalData_1" localSheetId="6">'12QData'!$A$5:$V$46</definedName>
    <definedName name="ExternalData_1" localSheetId="4">HData!$A$5:$Q$192</definedName>
    <definedName name="ExternalData_1" localSheetId="5">QData!$A$5:$V$47</definedName>
    <definedName name="ExternalData_1" localSheetId="3">Statistics!$A$5:$B$120</definedName>
    <definedName name="ExternalData_10" localSheetId="6">'12QData'!$A$5:$V$54</definedName>
    <definedName name="ExternalData_10" localSheetId="4">HData!$A$5:$F$192</definedName>
    <definedName name="ExternalData_10" localSheetId="3">Statistics!$A$5:$B$120</definedName>
    <definedName name="ExternalData_100" localSheetId="6">'12QData'!$A$116:$V$163</definedName>
    <definedName name="ExternalData_100" localSheetId="4">HData!$S$5:$AI$169</definedName>
    <definedName name="ExternalData_101" localSheetId="6">'12QData'!$A$167:$W$201</definedName>
    <definedName name="ExternalData_101" localSheetId="4">HData!$S$5:$AI$169</definedName>
    <definedName name="ExternalData_102" localSheetId="6">'12QData'!$A$56:$V$111</definedName>
    <definedName name="ExternalData_102" localSheetId="4">HData!$S$5:$AI$169</definedName>
    <definedName name="ExternalData_103" localSheetId="6">'12QData'!$A$116:$V$163</definedName>
    <definedName name="ExternalData_103" localSheetId="4">HData!$S$5:$AI$169</definedName>
    <definedName name="ExternalData_104" localSheetId="6">'12QData'!$A$167:$W$201</definedName>
    <definedName name="ExternalData_104" localSheetId="4">HData!$S$5:$AI$169</definedName>
    <definedName name="ExternalData_105" localSheetId="6">'12QData'!$A$56:$V$111</definedName>
    <definedName name="ExternalData_105" localSheetId="4">HData!$S$5:$AI$169</definedName>
    <definedName name="ExternalData_106" localSheetId="6">'12QData'!$A$116:$V$163</definedName>
    <definedName name="ExternalData_106" localSheetId="4">HData!$S$5:$AI$169</definedName>
    <definedName name="ExternalData_107" localSheetId="6">'12QData'!$A$167:$W$201</definedName>
    <definedName name="ExternalData_107" localSheetId="4">HData!$S$5:$AI$169</definedName>
    <definedName name="ExternalData_108" localSheetId="6">'12QData'!$A$56:$V$108</definedName>
    <definedName name="ExternalData_108" localSheetId="4">HData!$A$105:$AD$138</definedName>
    <definedName name="ExternalData_109" localSheetId="6">'12QData'!$A$116:$V$160</definedName>
    <definedName name="ExternalData_109" localSheetId="4">HData!$A$155:$AE$214</definedName>
    <definedName name="ExternalData_11" localSheetId="6">'12QData'!$A$5:$V$54</definedName>
    <definedName name="ExternalData_11" localSheetId="4">HData!$A$5:$Q$192</definedName>
    <definedName name="ExternalData_11" localSheetId="3">Statistics!$A$5:$B$120</definedName>
    <definedName name="ExternalData_110" localSheetId="6">'12QData'!$A$167:$W$200</definedName>
    <definedName name="ExternalData_111" localSheetId="6">'12QData'!$A$56:$V$111</definedName>
    <definedName name="ExternalData_112" localSheetId="6">'12QData'!$A$116:$V$163</definedName>
    <definedName name="ExternalData_113" localSheetId="6">'12QData'!$A$167:$W$201</definedName>
    <definedName name="ExternalData_114" localSheetId="6">'12QData'!$A$56:$V$108</definedName>
    <definedName name="ExternalData_115" localSheetId="6">'12QData'!$A$116:$V$160</definedName>
    <definedName name="ExternalData_116" localSheetId="6">'12QData'!$A$167:$W$200</definedName>
    <definedName name="ExternalData_117" localSheetId="6">'12QData'!$A$56:$V$103</definedName>
    <definedName name="ExternalData_118" localSheetId="6">'12QData'!$A$116:$V$155</definedName>
    <definedName name="ExternalData_119" localSheetId="6">'12QData'!$A$167:$W$201</definedName>
    <definedName name="ExternalData_12" localSheetId="6">'12QData'!$A$5:$L$44</definedName>
    <definedName name="ExternalData_12" localSheetId="4">HData!$A$5:$F$192</definedName>
    <definedName name="ExternalData_12" localSheetId="3">Statistics!$A$5:$B$120</definedName>
    <definedName name="ExternalData_120" localSheetId="6">'12QData'!$A$56:$V$108</definedName>
    <definedName name="ExternalData_121" localSheetId="6">'12QData'!$A$116:$V$160</definedName>
    <definedName name="ExternalData_122" localSheetId="6">'12QData'!$A$167:$W$200</definedName>
    <definedName name="ExternalData_123" localSheetId="6">'12QData'!$A$56:$V$103</definedName>
    <definedName name="ExternalData_123" localSheetId="4">HData!$A$5:$Q$192</definedName>
    <definedName name="ExternalData_124" localSheetId="6">'12QData'!$A$116:$V$155</definedName>
    <definedName name="ExternalData_124" localSheetId="4">HData!$S$5:$AI$169</definedName>
    <definedName name="ExternalData_125" localSheetId="6">'12QData'!$A$167:$W$201</definedName>
    <definedName name="ExternalData_125" localSheetId="4">HData!$A$5:$G$192</definedName>
    <definedName name="ExternalData_126" localSheetId="6">'12QData'!$A$56:$V$111</definedName>
    <definedName name="ExternalData_126" localSheetId="4">HData!$S$5:$Y$169</definedName>
    <definedName name="ExternalData_127" localSheetId="6">'12QData'!$A$116:$V$163</definedName>
    <definedName name="ExternalData_127" localSheetId="4">HData!$A$5</definedName>
    <definedName name="ExternalData_128" localSheetId="6">'12QData'!$A$167:$W$201</definedName>
    <definedName name="ExternalData_128" localSheetId="4">HData!$S$5</definedName>
    <definedName name="ExternalData_129" localSheetId="6">'12QData'!$A$56:$V$110</definedName>
    <definedName name="ExternalData_129" localSheetId="4">HData!$A$5:$Q$192</definedName>
    <definedName name="ExternalData_13" localSheetId="6">'12QData'!$A$5:$V$54</definedName>
    <definedName name="ExternalData_13" localSheetId="4">HData!$A$5:$Q$192</definedName>
    <definedName name="ExternalData_13" localSheetId="3">Statistics!$A$5:$B$120</definedName>
    <definedName name="ExternalData_130" localSheetId="6">'12QData'!$A$116:$V$160</definedName>
    <definedName name="ExternalData_130" localSheetId="4">HData!$S$5:$AI$169</definedName>
    <definedName name="ExternalData_131" localSheetId="6">'12QData'!$A$167:$W$201</definedName>
    <definedName name="ExternalData_131" localSheetId="4">HData!$A$5:$P$192</definedName>
    <definedName name="ExternalData_132" localSheetId="6">'12QData'!$A$56:$V$103</definedName>
    <definedName name="ExternalData_132" localSheetId="4">HData!$S$5:$AH$169</definedName>
    <definedName name="ExternalData_133" localSheetId="6">'12QData'!$A$116:$V$155</definedName>
    <definedName name="ExternalData_133" localSheetId="4">HData!$A$5:$Q$192</definedName>
    <definedName name="ExternalData_134" localSheetId="6">'12QData'!$A$167:$W$201</definedName>
    <definedName name="ExternalData_134" localSheetId="4">HData!$S$5:$AI$169</definedName>
    <definedName name="ExternalData_135" localSheetId="6">'12QData'!$A$56:$V$109</definedName>
    <definedName name="ExternalData_135" localSheetId="4">HData!$A$5:$Q$192</definedName>
    <definedName name="ExternalData_136" localSheetId="6">'12QData'!$A$116:$V$157</definedName>
    <definedName name="ExternalData_136" localSheetId="4">HData!$S$5:$AI$169</definedName>
    <definedName name="ExternalData_137" localSheetId="6">'12QData'!$A$167:$W$201</definedName>
    <definedName name="ExternalData_137" localSheetId="4">HData!$A$5:$Q$192</definedName>
    <definedName name="ExternalData_138" localSheetId="6">'12QData'!$A$56:$V$108</definedName>
    <definedName name="ExternalData_138" localSheetId="4">HData!$S$5:$AI$169</definedName>
    <definedName name="ExternalData_139" localSheetId="6">'12QData'!$A$116:$V$160</definedName>
    <definedName name="ExternalData_139" localSheetId="4">HData!$A$5:$Q$192</definedName>
    <definedName name="ExternalData_14" localSheetId="6">'12QData'!$A$5:$L$44</definedName>
    <definedName name="ExternalData_14" localSheetId="4">HData!$A$5:$E$192</definedName>
    <definedName name="ExternalData_14" localSheetId="3">Statistics!$A$5:$B$120</definedName>
    <definedName name="ExternalData_140" localSheetId="6">'12QData'!$A$167:$W$200</definedName>
    <definedName name="ExternalData_140" localSheetId="4">HData!$S$5:$AI$169</definedName>
    <definedName name="ExternalData_141" localSheetId="6">'12QData'!$A$56:$V$103</definedName>
    <definedName name="ExternalData_141" localSheetId="4">HData!$A$5:$Q$192</definedName>
    <definedName name="ExternalData_142" localSheetId="6">'12QData'!$A$116:$V$155</definedName>
    <definedName name="ExternalData_142" localSheetId="4">HData!$S$5:$AI$169</definedName>
    <definedName name="ExternalData_143" localSheetId="6">'12QData'!$A$167:$W$201</definedName>
    <definedName name="ExternalData_143" localSheetId="4">HData!$A$5:$Q$192</definedName>
    <definedName name="ExternalData_144" localSheetId="6">'12QData'!$A$56:$V$108</definedName>
    <definedName name="ExternalData_145" localSheetId="6">'12QData'!$A$116:$V$160</definedName>
    <definedName name="ExternalData_146" localSheetId="6">'12QData'!$A$167:$W$200</definedName>
    <definedName name="ExternalData_147" localSheetId="6">'12QData'!$A$56:$V$109</definedName>
    <definedName name="ExternalData_148" localSheetId="6">'12QData'!$A$116:$V$153</definedName>
    <definedName name="ExternalData_149" localSheetId="6">'12QData'!$A$167:$W$201</definedName>
    <definedName name="ExternalData_15" localSheetId="6">'12QData'!$A$5:$V$54</definedName>
    <definedName name="ExternalData_15" localSheetId="4">HData!$A$5:$Q$192</definedName>
    <definedName name="ExternalData_15" localSheetId="3">Statistics!$A$5:$B$120</definedName>
    <definedName name="ExternalData_150" localSheetId="6">'12QData'!$A$56:$L$105</definedName>
    <definedName name="ExternalData_151" localSheetId="6">'12QData'!$A$116:$L$160</definedName>
    <definedName name="ExternalData_152" localSheetId="6">'12QData'!$A$167:$M$198</definedName>
    <definedName name="ExternalData_153" localSheetId="6">'12QData'!$A$56:$V$108</definedName>
    <definedName name="ExternalData_154" localSheetId="6">'12QData'!$A$116:$V$160</definedName>
    <definedName name="ExternalData_155" localSheetId="6">'12QData'!$A$167:$W$200</definedName>
    <definedName name="ExternalData_156" localSheetId="6">'12QData'!$A$56:$V$111</definedName>
    <definedName name="ExternalData_157" localSheetId="6">'12QData'!$A$116:$V$163</definedName>
    <definedName name="ExternalData_158" localSheetId="6">'12QData'!$A$167:$W$201</definedName>
    <definedName name="ExternalData_159" localSheetId="6">'12QData'!$A$56:$V$109</definedName>
    <definedName name="ExternalData_16" localSheetId="6">'12QData'!$A$5:$L$44</definedName>
    <definedName name="ExternalData_16" localSheetId="4">HData!$A$5:$Q$192</definedName>
    <definedName name="ExternalData_16" localSheetId="3">Statistics!$A$5:$B$120</definedName>
    <definedName name="ExternalData_160" localSheetId="6">'12QData'!$A$116:$V$157</definedName>
    <definedName name="ExternalData_161" localSheetId="6">'12QData'!$A$167:$W$201</definedName>
    <definedName name="ExternalData_162" localSheetId="6">'12QData'!$A$56:$V$111</definedName>
    <definedName name="ExternalData_163" localSheetId="6">'12QData'!$A$116:$V$163</definedName>
    <definedName name="ExternalData_164" localSheetId="6">'12QData'!$A$167:$W$201</definedName>
    <definedName name="ExternalData_165" localSheetId="6">'12QData'!$A$56:$V$108</definedName>
    <definedName name="ExternalData_166" localSheetId="6">'12QData'!$A$116:$V$160</definedName>
    <definedName name="ExternalData_167" localSheetId="6">'12QData'!$A$167:$W$200</definedName>
    <definedName name="ExternalData_168" localSheetId="6">'12QData'!$A$56:$V$111</definedName>
    <definedName name="ExternalData_169" localSheetId="6">'12QData'!$A$116:$V$163</definedName>
    <definedName name="ExternalData_17" localSheetId="6">'12QData'!$A$5:$F$39</definedName>
    <definedName name="ExternalData_17" localSheetId="4">HData!$A$5:$Q$192</definedName>
    <definedName name="ExternalData_17" localSheetId="3">Statistics!$A$5:$B$120</definedName>
    <definedName name="ExternalData_170" localSheetId="6">'12QData'!$A$167:$W$201</definedName>
    <definedName name="ExternalData_171" localSheetId="6">'12QData'!$A$56:$V$111</definedName>
    <definedName name="ExternalData_172" localSheetId="6">'12QData'!$A$116:$V$163</definedName>
    <definedName name="ExternalData_173" localSheetId="6">'12QData'!$A$167:$W$201</definedName>
    <definedName name="ExternalData_174" localSheetId="6">'12QData'!$A$56:$V$108</definedName>
    <definedName name="ExternalData_175" localSheetId="6">'12QData'!$A$116:$V$160</definedName>
    <definedName name="ExternalData_176" localSheetId="6">'12QData'!$A$167:$W$200</definedName>
    <definedName name="ExternalData_177" localSheetId="6">'12QData'!$A$56:$V$103</definedName>
    <definedName name="ExternalData_177" localSheetId="4">HData!$A$5:$F$192</definedName>
    <definedName name="ExternalData_178" localSheetId="6">'12QData'!$A$116:$V$155</definedName>
    <definedName name="ExternalData_178" localSheetId="4">HData!$S$5:$X$169</definedName>
    <definedName name="ExternalData_179" localSheetId="6">'12QData'!$A$167:$W$201</definedName>
    <definedName name="ExternalData_179" localSheetId="4">HData!$A$5:$F$192</definedName>
    <definedName name="ExternalData_18" localSheetId="6">'12QData'!$A$5:$F$39</definedName>
    <definedName name="ExternalData_18" localSheetId="4">HData!$A$5:$Q$192</definedName>
    <definedName name="ExternalData_18" localSheetId="3">Statistics!$A$5:$B$120</definedName>
    <definedName name="ExternalData_180" localSheetId="6">'12QData'!$A$56:$V$111</definedName>
    <definedName name="ExternalData_180" localSheetId="4">HData!$S$5:$X$169</definedName>
    <definedName name="ExternalData_181" localSheetId="6">'12QData'!$A$116:$V$163</definedName>
    <definedName name="ExternalData_181" localSheetId="4">HData!$A$5:$Q$192</definedName>
    <definedName name="ExternalData_182" localSheetId="6">'12QData'!$A$167:$W$201</definedName>
    <definedName name="ExternalData_182" localSheetId="4">HData!$S$5:$AI$169</definedName>
    <definedName name="ExternalData_183" localSheetId="6">'12QData'!$A$116:$V$158</definedName>
    <definedName name="ExternalData_183" localSheetId="4">HData!$A$5:$Q$192</definedName>
    <definedName name="ExternalData_184" localSheetId="6">'12QData'!$A$167:$W$197</definedName>
    <definedName name="ExternalData_184" localSheetId="4">HData!$S$5:$AI$169</definedName>
    <definedName name="ExternalData_19" localSheetId="6">'12QData'!$A$5:$V$54</definedName>
    <definedName name="ExternalData_19" localSheetId="4">HData!$A$5:$Q$192</definedName>
    <definedName name="ExternalData_19" localSheetId="3">Statistics!$A$5:$B$120</definedName>
    <definedName name="ExternalData_2" localSheetId="6">'12QData'!$A$5:$V$47</definedName>
    <definedName name="ExternalData_2" localSheetId="4">HData!$S$5:$AI$169</definedName>
    <definedName name="ExternalData_2" localSheetId="5">QData!$A$56:$V$108</definedName>
    <definedName name="ExternalData_2" localSheetId="3">Statistics!$A$5:$B$120</definedName>
    <definedName name="ExternalData_20" localSheetId="6">'12QData'!$A$5:$V$54</definedName>
    <definedName name="ExternalData_20" localSheetId="4">HData!$A$5:$Q$192</definedName>
    <definedName name="ExternalData_20" localSheetId="3">Statistics!$A$5:$B$120</definedName>
    <definedName name="ExternalData_21" localSheetId="6">'12QData'!$A$5:$V$51</definedName>
    <definedName name="ExternalData_21" localSheetId="4">HData!$A$5:$Q$192</definedName>
    <definedName name="ExternalData_21" localSheetId="3">Statistics!$A$5:$B$120</definedName>
    <definedName name="ExternalData_22" localSheetId="6">'12QData'!$A$5:$V$54</definedName>
    <definedName name="ExternalData_22" localSheetId="4">HData!$A$5:$Q$192</definedName>
    <definedName name="ExternalData_22" localSheetId="3">Statistics!$A$5:$B$120</definedName>
    <definedName name="ExternalData_23" localSheetId="6">'12QData'!$A$5:$V$51</definedName>
    <definedName name="ExternalData_23" localSheetId="4">HData!$A$5:$Q$192</definedName>
    <definedName name="ExternalData_23" localSheetId="3">Statistics!$A$5:$B$120</definedName>
    <definedName name="ExternalData_24" localSheetId="6">'12QData'!$A$5:$V$46</definedName>
    <definedName name="ExternalData_24" localSheetId="4">HData!$A$5:$Q$192</definedName>
    <definedName name="ExternalData_24" localSheetId="3">Statistics!$A$5:$B$120</definedName>
    <definedName name="ExternalData_25" localSheetId="6">'12QData'!$A$5:$V$51</definedName>
    <definedName name="ExternalData_25" localSheetId="4">HData!$A$5:$Q$192</definedName>
    <definedName name="ExternalData_25" localSheetId="3">Statistics!$A$5:$B$120</definedName>
    <definedName name="ExternalData_26" localSheetId="6">'12QData'!$A$5:$V$46</definedName>
    <definedName name="ExternalData_26" localSheetId="4">HData!$S$5:$AI$169</definedName>
    <definedName name="ExternalData_26" localSheetId="3">Statistics!$A$5:$B$120</definedName>
    <definedName name="ExternalData_27" localSheetId="6">'12QData'!$A$5:$V$54</definedName>
    <definedName name="ExternalData_27" localSheetId="4">HData!$A$5:$Q$192</definedName>
    <definedName name="ExternalData_27" localSheetId="3">Statistics!$A$5:$B$120</definedName>
    <definedName name="ExternalData_28" localSheetId="6">'12QData'!$A$5:$V$46</definedName>
    <definedName name="ExternalData_28" localSheetId="4">HData!$S$5:$AI$169</definedName>
    <definedName name="ExternalData_28" localSheetId="3">Statistics!$A$5:$B$120</definedName>
    <definedName name="ExternalData_29" localSheetId="6">'12QData'!$A$5:$V$46</definedName>
    <definedName name="ExternalData_29" localSheetId="4">HData!$A$5:$Q$192</definedName>
    <definedName name="ExternalData_29" localSheetId="3">Statistics!$A$5:$B$120</definedName>
    <definedName name="ExternalData_3" localSheetId="6">'12QData'!$A$5:$V$54</definedName>
    <definedName name="ExternalData_3" localSheetId="4">HData!$A$5:$Q$192</definedName>
    <definedName name="ExternalData_3" localSheetId="5">QData!$A$116:$V$158</definedName>
    <definedName name="ExternalData_3" localSheetId="3">Statistics!$A$5:$B$120</definedName>
    <definedName name="ExternalData_30" localSheetId="6">'12QData'!$A$5:$V$49</definedName>
    <definedName name="ExternalData_30" localSheetId="4">HData!$S$5:$AI$169</definedName>
    <definedName name="ExternalData_30" localSheetId="3">Statistics!$A$5:$B$120</definedName>
    <definedName name="ExternalData_31" localSheetId="6">'12QData'!$A$5:$V$51</definedName>
    <definedName name="ExternalData_31" localSheetId="4">HData!$A$5:$Q$192</definedName>
    <definedName name="ExternalData_31" localSheetId="3">Statistics!$A$5:$B$120</definedName>
    <definedName name="ExternalData_32" localSheetId="6">'12QData'!$A$5:$V$46</definedName>
    <definedName name="ExternalData_32" localSheetId="4">HData!$S$5:$AI$169</definedName>
    <definedName name="ExternalData_32" localSheetId="3">Statistics!$A$5:$B$120</definedName>
    <definedName name="ExternalData_33" localSheetId="6">'12QData'!$A$5:$V$51</definedName>
    <definedName name="ExternalData_33" localSheetId="4">HData!$A$5:$Q$192</definedName>
    <definedName name="ExternalData_33" localSheetId="3">Statistics!$A$5:$B$120</definedName>
    <definedName name="ExternalData_34" localSheetId="6">'12QData'!$A$5:$V$46</definedName>
    <definedName name="ExternalData_34" localSheetId="4">HData!$A$5:$Q$192</definedName>
    <definedName name="ExternalData_34" localSheetId="3">Statistics!$A$5:$B$120</definedName>
    <definedName name="ExternalData_35" localSheetId="6">'12QData'!$A$5:$L$44</definedName>
    <definedName name="ExternalData_35" localSheetId="4">HData!$A$5:$Q$192</definedName>
    <definedName name="ExternalData_35" localSheetId="3">Statistics!$A$5:$B$120</definedName>
    <definedName name="ExternalData_36" localSheetId="6">'12QData'!$A$5:$V$51</definedName>
    <definedName name="ExternalData_36" localSheetId="4">HData!$A$5:$Q$192</definedName>
    <definedName name="ExternalData_36" localSheetId="3">Statistics!$A$5:$B$120</definedName>
    <definedName name="ExternalData_37" localSheetId="6">'12QData'!$A$5:$V$54</definedName>
    <definedName name="ExternalData_37" localSheetId="4">HData!$A$5:$Q$192</definedName>
    <definedName name="ExternalData_37" localSheetId="3">Statistics!$A$5:$B$120</definedName>
    <definedName name="ExternalData_38" localSheetId="6">'12QData'!$A$5:$V$49</definedName>
    <definedName name="ExternalData_38" localSheetId="4">HData!$A$5:$Q$192</definedName>
    <definedName name="ExternalData_38" localSheetId="3">Statistics!$A$5:$B$120</definedName>
    <definedName name="ExternalData_39" localSheetId="6">'12QData'!$A$5:$V$54</definedName>
    <definedName name="ExternalData_39" localSheetId="4">HData!$A$5:$Q$192</definedName>
    <definedName name="ExternalData_39" localSheetId="3">Statistics!$A$5:$B$120</definedName>
    <definedName name="ExternalData_4" localSheetId="6">'12QData'!$A$5:$V$46</definedName>
    <definedName name="ExternalData_4" localSheetId="4">HData!$S$5:$AI$169</definedName>
    <definedName name="ExternalData_4" localSheetId="5">QData!$A$167:$W$200</definedName>
    <definedName name="ExternalData_4" localSheetId="3">Statistics!$A$5:$B$120</definedName>
    <definedName name="ExternalData_40" localSheetId="6">'12QData'!$A$5:$V$51</definedName>
    <definedName name="ExternalData_40" localSheetId="4">HData!$A$5:$Q$192</definedName>
    <definedName name="ExternalData_40" localSheetId="3">Statistics!$A$5:$B$120</definedName>
    <definedName name="ExternalData_41" localSheetId="6">'12QData'!$A$5:$V$54</definedName>
    <definedName name="ExternalData_41" localSheetId="4">HData!$A$5:$Q$192</definedName>
    <definedName name="ExternalData_41" localSheetId="3">Statistics!$A$5:$B$120</definedName>
    <definedName name="ExternalData_42" localSheetId="6">'12QData'!$A$5:$V$54</definedName>
    <definedName name="ExternalData_42" localSheetId="4">HData!$A$5:$AD$29</definedName>
    <definedName name="ExternalData_42" localSheetId="3">Statistics!$A$5:$B$120</definedName>
    <definedName name="ExternalData_43" localSheetId="6">'12QData'!$A$5:$V$51</definedName>
    <definedName name="ExternalData_43" localSheetId="4">HData!$A$55:$AC$99</definedName>
    <definedName name="ExternalData_43" localSheetId="3">Statistics!$A$5:$B$120</definedName>
    <definedName name="ExternalData_44" localSheetId="6">'12QData'!$A$5:$V$46</definedName>
    <definedName name="ExternalData_44" localSheetId="4">HData!$S$5:$AI$169</definedName>
    <definedName name="ExternalData_44" localSheetId="3">Statistics!$A$5:$B$120</definedName>
    <definedName name="ExternalData_45" localSheetId="6">'12QData'!$A$5:$V$54</definedName>
    <definedName name="ExternalData_45" localSheetId="4">HData!$A$5:$Q$192</definedName>
    <definedName name="ExternalData_45" localSheetId="3">Statistics!$A$5:$B$120</definedName>
    <definedName name="ExternalData_46" localSheetId="6">'12QData'!$A$5:$V$48</definedName>
    <definedName name="ExternalData_46" localSheetId="4">HData!$S$5:$AI$169</definedName>
    <definedName name="ExternalData_46" localSheetId="3">Statistics!$A$5:$B$120</definedName>
    <definedName name="ExternalData_47" localSheetId="6">'12QData'!$A$56:$V$108</definedName>
    <definedName name="ExternalData_47" localSheetId="4">HData!$A$5:$Q$192</definedName>
    <definedName name="ExternalData_47" localSheetId="3">Statistics!$A$5:$B$120</definedName>
    <definedName name="ExternalData_48" localSheetId="6">'12QData'!$A$56:$V$102</definedName>
    <definedName name="ExternalData_48" localSheetId="4">HData!$S$5:$AI$169</definedName>
    <definedName name="ExternalData_48" localSheetId="3">Statistics!$A$5:$B$125</definedName>
    <definedName name="ExternalData_49" localSheetId="6">'12QData'!$A$116:$V$151</definedName>
    <definedName name="ExternalData_49" localSheetId="4">HData!$A$5:$Q$192</definedName>
    <definedName name="ExternalData_49" localSheetId="3">Statistics!$D$5:$L$61</definedName>
    <definedName name="ExternalData_5" localSheetId="6">'12QData'!$A$5:$V$46</definedName>
    <definedName name="ExternalData_5" localSheetId="4">HData!$A$5:$Q$192</definedName>
    <definedName name="ExternalData_5" localSheetId="3">Statistics!$A$5:$B$120</definedName>
    <definedName name="ExternalData_50" localSheetId="6">'12QData'!$A$167:$W$189</definedName>
    <definedName name="ExternalData_50" localSheetId="4">HData!$S$5:$AI$169</definedName>
    <definedName name="ExternalData_51" localSheetId="6">'12QData'!$A$56:$V$111</definedName>
    <definedName name="ExternalData_51" localSheetId="4">HData!$A$5:$Q$192</definedName>
    <definedName name="ExternalData_52" localSheetId="6">'12QData'!$A$116:$V$163</definedName>
    <definedName name="ExternalData_52" localSheetId="4">HData!$S$5:$AI$169</definedName>
    <definedName name="ExternalData_53" localSheetId="6">'12QData'!$A$167:$W$201</definedName>
    <definedName name="ExternalData_53" localSheetId="4">HData!$A$5:$Q$192</definedName>
    <definedName name="ExternalData_54" localSheetId="6">'12QData'!$A$56:$V$110</definedName>
    <definedName name="ExternalData_54" localSheetId="4">HData!$S$5:$AI$169</definedName>
    <definedName name="ExternalData_55" localSheetId="6">'12QData'!$A$116:$V$160</definedName>
    <definedName name="ExternalData_55" localSheetId="4">HData!$A$5:$Q$192</definedName>
    <definedName name="ExternalData_56" localSheetId="6">'12QData'!$A$167:$W$201</definedName>
    <definedName name="ExternalData_56" localSheetId="4">HData!$S$5:$AI$169</definedName>
    <definedName name="ExternalData_57" localSheetId="6">'12QData'!$A$56:$V$109</definedName>
    <definedName name="ExternalData_57" localSheetId="4">HData!$A$5:$Q$192</definedName>
    <definedName name="ExternalData_58" localSheetId="6">'12QData'!$A$116:$V$153</definedName>
    <definedName name="ExternalData_58" localSheetId="4">HData!$S$5:$AI$169</definedName>
    <definedName name="ExternalData_59" localSheetId="6">'12QData'!$A$167:$W$201</definedName>
    <definedName name="ExternalData_59" localSheetId="4">HData!$A$5:$Q$192</definedName>
    <definedName name="ExternalData_6" localSheetId="6">'12QData'!$A$5:$V$54</definedName>
    <definedName name="ExternalData_6" localSheetId="4">HData!$S$5:$AI$169</definedName>
    <definedName name="ExternalData_6" localSheetId="3">Statistics!$A$5:$B$120</definedName>
    <definedName name="ExternalData_60" localSheetId="6">'12QData'!$A$56:$V$111</definedName>
    <definedName name="ExternalData_60" localSheetId="4">HData!$S$5:$AI$169</definedName>
    <definedName name="ExternalData_61" localSheetId="6">'12QData'!$A$116:$V$163</definedName>
    <definedName name="ExternalData_61" localSheetId="4">HData!$A$5:$Q$192</definedName>
    <definedName name="ExternalData_62" localSheetId="6">'12QData'!$A$167:$W$201</definedName>
    <definedName name="ExternalData_62" localSheetId="4">HData!$S$5:$AI$169</definedName>
    <definedName name="ExternalData_63" localSheetId="6">'12QData'!$A$56:$L$105</definedName>
    <definedName name="ExternalData_63" localSheetId="4">HData!$A$5:$Q$192</definedName>
    <definedName name="ExternalData_64" localSheetId="6">'12QData'!$A$116:$L$160</definedName>
    <definedName name="ExternalData_64" localSheetId="4">HData!$S$5:$AI$169</definedName>
    <definedName name="ExternalData_65" localSheetId="6">'12QData'!$A$167:$M$198</definedName>
    <definedName name="ExternalData_65" localSheetId="4">HData!$A$5:$Q$192</definedName>
    <definedName name="ExternalData_66" localSheetId="6">'12QData'!$A$56:$L$105</definedName>
    <definedName name="ExternalData_66" localSheetId="4">HData!$S$5:$X$169</definedName>
    <definedName name="ExternalData_67" localSheetId="6">'12QData'!$A$116:$L$160</definedName>
    <definedName name="ExternalData_67" localSheetId="4">HData!$S$5:$AI$169</definedName>
    <definedName name="ExternalData_68" localSheetId="6">'12QData'!$A$167:$M$198</definedName>
    <definedName name="ExternalData_68" localSheetId="4">HData!$S$5:$X$169</definedName>
    <definedName name="ExternalData_69" localSheetId="6">'12QData'!$A$56:$L$105</definedName>
    <definedName name="ExternalData_69" localSheetId="4">HData!$S$5:$AI$169</definedName>
    <definedName name="ExternalData_7" localSheetId="6">'12QData'!$A$5:$L$44</definedName>
    <definedName name="ExternalData_7" localSheetId="4">HData!$A$5:$Q$192</definedName>
    <definedName name="ExternalData_7" localSheetId="3">Statistics!$A$5:$B$120</definedName>
    <definedName name="ExternalData_70" localSheetId="6">'12QData'!$A$116:$L$160</definedName>
    <definedName name="ExternalData_70" localSheetId="4">HData!$S$5:$X$169</definedName>
    <definedName name="ExternalData_71" localSheetId="6">'12QData'!$A$167:$M$198</definedName>
    <definedName name="ExternalData_71" localSheetId="4">HData!$S$5:$W$169</definedName>
    <definedName name="ExternalData_72" localSheetId="6">'12QData'!$A$56:$V$111</definedName>
    <definedName name="ExternalData_72" localSheetId="4">HData!$S$5:$W$169</definedName>
    <definedName name="ExternalData_73" localSheetId="6">'12QData'!$A$116:$V$163</definedName>
    <definedName name="ExternalData_73" localSheetId="4">HData!$S$5:$AI$169</definedName>
    <definedName name="ExternalData_74" localSheetId="6">'12QData'!$A$167:$W$201</definedName>
    <definedName name="ExternalData_74" localSheetId="4">HData!$S$5:$AI$169</definedName>
    <definedName name="ExternalData_75" localSheetId="6">'12QData'!$A$56:$V$111</definedName>
    <definedName name="ExternalData_75" localSheetId="4">HData!$S$5:$AI$169</definedName>
    <definedName name="ExternalData_76" localSheetId="6">'12QData'!$A$116:$V$163</definedName>
    <definedName name="ExternalData_76" localSheetId="4">HData!$S$5:$AI$169</definedName>
    <definedName name="ExternalData_77" localSheetId="6">'12QData'!$A$167:$W$201</definedName>
    <definedName name="ExternalData_77" localSheetId="4">HData!$S$5:$AI$169</definedName>
    <definedName name="ExternalData_78" localSheetId="6">'12QData'!$A$56:$L$105</definedName>
    <definedName name="ExternalData_78" localSheetId="4">HData!$S$5:$AI$169</definedName>
    <definedName name="ExternalData_79" localSheetId="6">'12QData'!$A$116:$L$160</definedName>
    <definedName name="ExternalData_79" localSheetId="4">HData!$S$5:$AI$169</definedName>
    <definedName name="ExternalData_8" localSheetId="6">'12QData'!$A$5:$L$44</definedName>
    <definedName name="ExternalData_8" localSheetId="4">HData!$A$5:$F$192</definedName>
    <definedName name="ExternalData_8" localSheetId="3">Statistics!$A$5:$B$120</definedName>
    <definedName name="ExternalData_80" localSheetId="6">'12QData'!$A$167:$M$198</definedName>
    <definedName name="ExternalData_80" localSheetId="4">HData!$S$5:$AI$169</definedName>
    <definedName name="ExternalData_81" localSheetId="6">'12QData'!$A$56:$V$108</definedName>
    <definedName name="ExternalData_81" localSheetId="4">HData!$S$5:$AI$169</definedName>
    <definedName name="ExternalData_82" localSheetId="6">'12QData'!$A$116:$V$160</definedName>
    <definedName name="ExternalData_82" localSheetId="4">HData!$S$5:$AI$169</definedName>
    <definedName name="ExternalData_83" localSheetId="6">'12QData'!$A$167:$W$200</definedName>
    <definedName name="ExternalData_83" localSheetId="4">HData!$S$5:$AI$169</definedName>
    <definedName name="ExternalData_84" localSheetId="6">'12QData'!$A$56:$L$105</definedName>
    <definedName name="ExternalData_84" localSheetId="4">HData!$S$5:$AI$169</definedName>
    <definedName name="ExternalData_85" localSheetId="6">'12QData'!$A$116:$L$160</definedName>
    <definedName name="ExternalData_85" localSheetId="4">HData!$A$5:$Q$192</definedName>
    <definedName name="ExternalData_86" localSheetId="6">'12QData'!$A$167:$M$198</definedName>
    <definedName name="ExternalData_86" localSheetId="4">HData!$S$5:$AI$169</definedName>
    <definedName name="ExternalData_87" localSheetId="6">'12QData'!$A$56:$V$111</definedName>
    <definedName name="ExternalData_87" localSheetId="4">HData!$A$5:$Q$192</definedName>
    <definedName name="ExternalData_88" localSheetId="6">'12QData'!$A$116:$V$163</definedName>
    <definedName name="ExternalData_88" localSheetId="4">HData!$S$5:$AI$169</definedName>
    <definedName name="ExternalData_89" localSheetId="6">'12QData'!$A$167:$W$201</definedName>
    <definedName name="ExternalData_89" localSheetId="4">HData!$A$5:$Q$192</definedName>
    <definedName name="ExternalData_9" localSheetId="6">'12QData'!$A$5:$L$44</definedName>
    <definedName name="ExternalData_9" localSheetId="4">HData!$A$5:$Q$192</definedName>
    <definedName name="ExternalData_9" localSheetId="3">Statistics!$A$5:$B$120</definedName>
    <definedName name="ExternalData_90" localSheetId="6">'12QData'!$A$56:$L$105</definedName>
    <definedName name="ExternalData_90" localSheetId="4">HData!$S$5:$AI$169</definedName>
    <definedName name="ExternalData_91" localSheetId="6">'12QData'!$A$116:$L$160</definedName>
    <definedName name="ExternalData_91" localSheetId="4">HData!$A$5:$Q$192</definedName>
    <definedName name="ExternalData_92" localSheetId="6">'12QData'!$A$167:$M$198</definedName>
    <definedName name="ExternalData_92" localSheetId="4">HData!$S$5:$AI$169</definedName>
    <definedName name="ExternalData_93" localSheetId="6">'12QData'!$A$56:$F$103</definedName>
    <definedName name="ExternalData_93" localSheetId="4">HData!$A$5:$Q$192</definedName>
    <definedName name="ExternalData_94" localSheetId="6">'12QData'!$A$116:$F$146</definedName>
    <definedName name="ExternalData_94" localSheetId="4">HData!$S$5:$AI$169</definedName>
    <definedName name="ExternalData_95" localSheetId="6">'12QData'!$A$167:$G$181</definedName>
    <definedName name="ExternalData_95" localSheetId="4">HData!$A$5:$F$192</definedName>
    <definedName name="ExternalData_96" localSheetId="6">'12QData'!$A$56:$F$103</definedName>
    <definedName name="ExternalData_96" localSheetId="4">HData!$S$5:$X$169</definedName>
    <definedName name="ExternalData_97" localSheetId="6">'12QData'!$A$116:$F$146</definedName>
    <definedName name="ExternalData_97" localSheetId="4">HData!$A$5:$Q$192</definedName>
    <definedName name="ExternalData_98" localSheetId="6">'12QData'!$A$167:$G$181</definedName>
    <definedName name="ExternalData_98" localSheetId="4">HData!$S$5:$AI$169</definedName>
    <definedName name="ExternalData_99" localSheetId="6">'12QData'!$A$56:$V$111</definedName>
    <definedName name="ExternalData_99" localSheetId="4">HData!$S$5:$AI$169</definedName>
    <definedName name="Financials" localSheetId="5">QData!$DG$5:$EB$157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8" i="12" l="1" a="1"/>
  <c r="B58" i="12" s="1"/>
  <c r="C58" i="12" a="1"/>
  <c r="C58" i="12" s="1"/>
  <c r="D58" i="12" a="1"/>
  <c r="D58" i="12" s="1"/>
  <c r="E58" i="12" a="1"/>
  <c r="E58" i="12" s="1"/>
  <c r="F58" i="12" a="1"/>
  <c r="F58" i="12" s="1"/>
  <c r="G58" i="12" a="1"/>
  <c r="G58" i="12" s="1"/>
  <c r="H58" i="12" a="1"/>
  <c r="H58" i="12" s="1"/>
  <c r="I58" i="12" a="1"/>
  <c r="I58" i="12" s="1"/>
  <c r="J58" i="12" a="1"/>
  <c r="J58" i="12" s="1"/>
  <c r="K58" i="12" a="1"/>
  <c r="K58" i="12" s="1"/>
  <c r="B57" i="12" a="1"/>
  <c r="B57" i="12" s="1"/>
  <c r="C57" i="12" a="1"/>
  <c r="C57" i="12" s="1"/>
  <c r="D57" i="12" a="1"/>
  <c r="D57" i="12" s="1"/>
  <c r="E57" i="12" a="1"/>
  <c r="E57" i="12" s="1"/>
  <c r="F57" i="12" a="1"/>
  <c r="F57" i="12" s="1"/>
  <c r="G57" i="12" a="1"/>
  <c r="G57" i="12" s="1"/>
  <c r="H57" i="12" a="1"/>
  <c r="H57" i="12" s="1"/>
  <c r="I57" i="12" a="1"/>
  <c r="I57" i="12" s="1"/>
  <c r="J57" i="12" a="1"/>
  <c r="J57" i="12" s="1"/>
  <c r="K57" i="12" a="1"/>
  <c r="K57" i="12" s="1"/>
  <c r="B8" i="4"/>
  <c r="B56" i="12" a="1"/>
  <c r="B56" i="12" s="1"/>
  <c r="C56" i="12" a="1"/>
  <c r="C56" i="12" s="1"/>
  <c r="D56" i="12" a="1"/>
  <c r="D56" i="12" s="1"/>
  <c r="E56" i="12" a="1"/>
  <c r="E56" i="12" s="1"/>
  <c r="F56" i="12" a="1"/>
  <c r="F56" i="12" s="1"/>
  <c r="G56" i="12" a="1"/>
  <c r="G56" i="12" s="1"/>
  <c r="H56" i="12" a="1"/>
  <c r="H56" i="12" s="1"/>
  <c r="I56" i="12" a="1"/>
  <c r="I56" i="12" s="1"/>
  <c r="J56" i="12" a="1"/>
  <c r="J56" i="12" s="1"/>
  <c r="K56" i="12" a="1"/>
  <c r="K56" i="12" s="1"/>
  <c r="K6" i="4"/>
  <c r="B55" i="12" a="1"/>
  <c r="B55" i="12" s="1"/>
  <c r="C55" i="12" a="1"/>
  <c r="C55" i="12" s="1"/>
  <c r="D55" i="12" a="1"/>
  <c r="D55" i="12" s="1"/>
  <c r="E55" i="12" a="1"/>
  <c r="E55" i="12" s="1"/>
  <c r="F55" i="12" a="1"/>
  <c r="F55" i="12" s="1"/>
  <c r="G55" i="12" a="1"/>
  <c r="G55" i="12" s="1"/>
  <c r="H55" i="12" a="1"/>
  <c r="H55" i="12" s="1"/>
  <c r="I55" i="12" a="1"/>
  <c r="I55" i="12" s="1"/>
  <c r="J55" i="12" a="1"/>
  <c r="J55" i="12" s="1"/>
  <c r="K55" i="12" a="1"/>
  <c r="K55" i="12" s="1"/>
  <c r="B19" i="12" a="1"/>
  <c r="B19" i="12" s="1"/>
  <c r="C19" i="12" a="1"/>
  <c r="C19" i="12" s="1"/>
  <c r="D19" i="12" a="1"/>
  <c r="D19" i="12" s="1"/>
  <c r="E19" i="12" a="1"/>
  <c r="E19" i="12" s="1"/>
  <c r="F19" i="12" a="1"/>
  <c r="F19" i="12" s="1"/>
  <c r="G19" i="12" a="1"/>
  <c r="G19" i="12" s="1"/>
  <c r="H19" i="12" a="1"/>
  <c r="H19" i="12" s="1"/>
  <c r="I19" i="12" a="1"/>
  <c r="I19" i="12" s="1"/>
  <c r="J19" i="12" a="1"/>
  <c r="J19" i="12" s="1"/>
  <c r="K19" i="12" a="1"/>
  <c r="K19" i="12" s="1"/>
  <c r="B18" i="12" a="1"/>
  <c r="B18" i="12" s="1"/>
  <c r="C18" i="12" a="1"/>
  <c r="C18" i="12" s="1"/>
  <c r="D18" i="12" a="1"/>
  <c r="D18" i="12" s="1"/>
  <c r="E18" i="12" a="1"/>
  <c r="E18" i="12" s="1"/>
  <c r="F18" i="12" a="1"/>
  <c r="F18" i="12" s="1"/>
  <c r="G18" i="12" a="1"/>
  <c r="G18" i="12" s="1"/>
  <c r="H18" i="12" a="1"/>
  <c r="H18" i="12" s="1"/>
  <c r="I18" i="12" a="1"/>
  <c r="I18" i="12" s="1"/>
  <c r="J18" i="12" a="1"/>
  <c r="J18" i="12" s="1"/>
  <c r="K18" i="12" a="1"/>
  <c r="K18" i="12" s="1"/>
  <c r="B28" i="12" a="1"/>
  <c r="B28" i="12" s="1"/>
  <c r="C28" i="12" a="1"/>
  <c r="C28" i="12" s="1"/>
  <c r="D28" i="12" a="1"/>
  <c r="D28" i="12" s="1"/>
  <c r="E28" i="12" a="1"/>
  <c r="E28" i="12" s="1"/>
  <c r="F28" i="12" a="1"/>
  <c r="F28" i="12" s="1"/>
  <c r="G28" i="12" a="1"/>
  <c r="G28" i="12" s="1"/>
  <c r="H28" i="12" a="1"/>
  <c r="H28" i="12" s="1"/>
  <c r="I28" i="12" a="1"/>
  <c r="I28" i="12" s="1"/>
  <c r="J28" i="12" a="1"/>
  <c r="J28" i="12" s="1"/>
  <c r="K28" i="12" a="1"/>
  <c r="K28" i="12" s="1"/>
  <c r="V52" i="4"/>
  <c r="U52" i="4"/>
  <c r="T52" i="4"/>
  <c r="S52" i="4"/>
  <c r="R52" i="4"/>
  <c r="Q52" i="4"/>
  <c r="P52" i="4"/>
  <c r="O52" i="4"/>
  <c r="N52" i="4"/>
  <c r="M52" i="4"/>
  <c r="L52" i="4"/>
  <c r="K52" i="4"/>
  <c r="J52" i="4"/>
  <c r="I52" i="4"/>
  <c r="H52" i="4"/>
  <c r="F52" i="4"/>
  <c r="V51" i="4"/>
  <c r="U51" i="4"/>
  <c r="T51" i="4"/>
  <c r="S51" i="4"/>
  <c r="R51" i="4"/>
  <c r="Q51" i="4"/>
  <c r="P51" i="4"/>
  <c r="O51" i="4"/>
  <c r="N51" i="4"/>
  <c r="M51" i="4"/>
  <c r="L51" i="4"/>
  <c r="K51" i="4"/>
  <c r="J51" i="4"/>
  <c r="I51" i="4"/>
  <c r="H51" i="4"/>
  <c r="F51" i="4"/>
  <c r="V50" i="4"/>
  <c r="U50" i="4"/>
  <c r="T50" i="4"/>
  <c r="S50" i="4"/>
  <c r="R50" i="4"/>
  <c r="Q50" i="4"/>
  <c r="P50" i="4"/>
  <c r="O50" i="4"/>
  <c r="N50" i="4"/>
  <c r="M50" i="4"/>
  <c r="L50" i="4"/>
  <c r="K50" i="4"/>
  <c r="J50" i="4"/>
  <c r="I50" i="4"/>
  <c r="H50" i="4"/>
  <c r="F50" i="4"/>
  <c r="V49" i="4"/>
  <c r="U49" i="4"/>
  <c r="T49" i="4"/>
  <c r="S49" i="4"/>
  <c r="R49" i="4"/>
  <c r="Q49" i="4"/>
  <c r="P49" i="4"/>
  <c r="O49" i="4"/>
  <c r="N49" i="4"/>
  <c r="M49" i="4"/>
  <c r="L49" i="4"/>
  <c r="K49" i="4"/>
  <c r="J49" i="4"/>
  <c r="I49" i="4"/>
  <c r="H49" i="4"/>
  <c r="F49" i="4"/>
  <c r="V48" i="4"/>
  <c r="U48" i="4"/>
  <c r="T48" i="4"/>
  <c r="S48" i="4"/>
  <c r="R48" i="4"/>
  <c r="Q48" i="4"/>
  <c r="P48" i="4"/>
  <c r="O48" i="4"/>
  <c r="N48" i="4"/>
  <c r="M48" i="4"/>
  <c r="L48" i="4"/>
  <c r="K48" i="4"/>
  <c r="J48" i="4"/>
  <c r="I48" i="4"/>
  <c r="H48" i="4"/>
  <c r="F48" i="4"/>
  <c r="V45" i="4"/>
  <c r="U45" i="4"/>
  <c r="T45" i="4"/>
  <c r="S45" i="4"/>
  <c r="R45" i="4"/>
  <c r="Q45" i="4"/>
  <c r="P45" i="4"/>
  <c r="O45" i="4"/>
  <c r="N45" i="4"/>
  <c r="M45" i="4"/>
  <c r="L45" i="4"/>
  <c r="K45" i="4"/>
  <c r="J45" i="4"/>
  <c r="I45" i="4"/>
  <c r="H45" i="4"/>
  <c r="V42" i="4"/>
  <c r="U42" i="4"/>
  <c r="T42" i="4"/>
  <c r="S42" i="4"/>
  <c r="R42" i="4"/>
  <c r="Q42" i="4"/>
  <c r="P42" i="4"/>
  <c r="O42" i="4"/>
  <c r="N42" i="4"/>
  <c r="M42" i="4"/>
  <c r="L42" i="4"/>
  <c r="K42" i="4"/>
  <c r="J42" i="4"/>
  <c r="I42" i="4"/>
  <c r="H42" i="4"/>
  <c r="V41" i="4"/>
  <c r="U41" i="4"/>
  <c r="T41" i="4"/>
  <c r="S41" i="4"/>
  <c r="R41" i="4"/>
  <c r="Q41" i="4"/>
  <c r="P41" i="4"/>
  <c r="O41" i="4"/>
  <c r="N41" i="4"/>
  <c r="M41" i="4"/>
  <c r="L41" i="4"/>
  <c r="K41" i="4"/>
  <c r="J41" i="4"/>
  <c r="I41" i="4"/>
  <c r="H41" i="4"/>
  <c r="V40" i="4"/>
  <c r="U40" i="4"/>
  <c r="T40" i="4"/>
  <c r="S40" i="4"/>
  <c r="R40" i="4"/>
  <c r="Q40" i="4"/>
  <c r="P40" i="4"/>
  <c r="O40" i="4"/>
  <c r="N40" i="4"/>
  <c r="M40" i="4"/>
  <c r="L40" i="4"/>
  <c r="K40" i="4"/>
  <c r="J40" i="4"/>
  <c r="I40" i="4"/>
  <c r="H40" i="4"/>
  <c r="V39" i="4"/>
  <c r="U39" i="4"/>
  <c r="T39" i="4"/>
  <c r="S39" i="4"/>
  <c r="R39" i="4"/>
  <c r="Q39" i="4"/>
  <c r="P39" i="4"/>
  <c r="O39" i="4"/>
  <c r="N39" i="4"/>
  <c r="M39" i="4"/>
  <c r="L39" i="4"/>
  <c r="K39" i="4"/>
  <c r="J39" i="4"/>
  <c r="I39" i="4"/>
  <c r="H39" i="4"/>
  <c r="F39" i="4"/>
  <c r="V38" i="4"/>
  <c r="U38" i="4"/>
  <c r="T38" i="4"/>
  <c r="S38" i="4"/>
  <c r="R38" i="4"/>
  <c r="Q38" i="4"/>
  <c r="P38" i="4"/>
  <c r="O38" i="4"/>
  <c r="N38" i="4"/>
  <c r="M38" i="4"/>
  <c r="L38" i="4"/>
  <c r="K38" i="4"/>
  <c r="J38" i="4"/>
  <c r="I38" i="4"/>
  <c r="H38" i="4"/>
  <c r="F38" i="4"/>
  <c r="V36" i="4"/>
  <c r="BS36" i="4" s="1"/>
  <c r="U36" i="4"/>
  <c r="T36" i="4"/>
  <c r="S36" i="4"/>
  <c r="R36" i="4"/>
  <c r="Q36" i="4"/>
  <c r="P36" i="4"/>
  <c r="O36" i="4"/>
  <c r="N36" i="4"/>
  <c r="M36" i="4"/>
  <c r="L36" i="4"/>
  <c r="K36" i="4"/>
  <c r="J36" i="4"/>
  <c r="I36" i="4"/>
  <c r="H36" i="4"/>
  <c r="F36" i="4"/>
  <c r="V35" i="4"/>
  <c r="U35" i="4"/>
  <c r="T35" i="4"/>
  <c r="S35" i="4"/>
  <c r="R35" i="4"/>
  <c r="Q35" i="4"/>
  <c r="P35" i="4"/>
  <c r="O35" i="4"/>
  <c r="N35" i="4"/>
  <c r="M35" i="4"/>
  <c r="L35" i="4"/>
  <c r="K35" i="4"/>
  <c r="J35" i="4"/>
  <c r="I35" i="4"/>
  <c r="H35" i="4"/>
  <c r="F35" i="4"/>
  <c r="V34" i="4"/>
  <c r="U34" i="4"/>
  <c r="T34" i="4"/>
  <c r="S34" i="4"/>
  <c r="R34" i="4"/>
  <c r="Q34" i="4"/>
  <c r="P34" i="4"/>
  <c r="O34" i="4"/>
  <c r="N34" i="4"/>
  <c r="M34" i="4"/>
  <c r="L34" i="4"/>
  <c r="K34" i="4"/>
  <c r="J34" i="4"/>
  <c r="I34" i="4"/>
  <c r="H34" i="4"/>
  <c r="F34" i="4"/>
  <c r="V33" i="4"/>
  <c r="U33" i="4"/>
  <c r="T33" i="4"/>
  <c r="S33" i="4"/>
  <c r="R33" i="4"/>
  <c r="Q33" i="4"/>
  <c r="P33" i="4"/>
  <c r="O33" i="4"/>
  <c r="N33" i="4"/>
  <c r="M33" i="4"/>
  <c r="L33" i="4"/>
  <c r="K33" i="4"/>
  <c r="J33" i="4"/>
  <c r="I33" i="4"/>
  <c r="H33" i="4"/>
  <c r="F33" i="4"/>
  <c r="V32" i="4"/>
  <c r="U32" i="4"/>
  <c r="T32" i="4"/>
  <c r="S32" i="4"/>
  <c r="R32" i="4"/>
  <c r="Q32" i="4"/>
  <c r="P32" i="4"/>
  <c r="O32" i="4"/>
  <c r="N32" i="4"/>
  <c r="M32" i="4"/>
  <c r="L32" i="4"/>
  <c r="K32" i="4"/>
  <c r="J32" i="4"/>
  <c r="I32" i="4"/>
  <c r="H32" i="4"/>
  <c r="F32" i="4"/>
  <c r="V30" i="4"/>
  <c r="U30" i="4"/>
  <c r="T30" i="4"/>
  <c r="S30" i="4"/>
  <c r="R30" i="4"/>
  <c r="Q30" i="4"/>
  <c r="P30" i="4"/>
  <c r="O30" i="4"/>
  <c r="N30" i="4"/>
  <c r="M30" i="4"/>
  <c r="L30" i="4"/>
  <c r="K30" i="4"/>
  <c r="J30" i="4"/>
  <c r="I30" i="4"/>
  <c r="H30" i="4"/>
  <c r="F30" i="4"/>
  <c r="V29" i="4"/>
  <c r="U29" i="4"/>
  <c r="T29" i="4"/>
  <c r="S29" i="4"/>
  <c r="R29" i="4"/>
  <c r="Q29" i="4"/>
  <c r="P29" i="4"/>
  <c r="O29" i="4"/>
  <c r="N29" i="4"/>
  <c r="M29" i="4"/>
  <c r="L29" i="4"/>
  <c r="K29" i="4"/>
  <c r="J29" i="4"/>
  <c r="I29" i="4"/>
  <c r="H29" i="4"/>
  <c r="F29" i="4"/>
  <c r="V28" i="4"/>
  <c r="U28" i="4"/>
  <c r="T28" i="4"/>
  <c r="S28" i="4"/>
  <c r="R28" i="4"/>
  <c r="Q28" i="4"/>
  <c r="P28" i="4"/>
  <c r="O28" i="4"/>
  <c r="N28" i="4"/>
  <c r="M28" i="4"/>
  <c r="L28" i="4"/>
  <c r="K28" i="4"/>
  <c r="J28" i="4"/>
  <c r="I28" i="4"/>
  <c r="H28" i="4"/>
  <c r="F28" i="4"/>
  <c r="V27" i="4"/>
  <c r="U27" i="4"/>
  <c r="T27" i="4"/>
  <c r="S27" i="4"/>
  <c r="R27" i="4"/>
  <c r="Q27" i="4"/>
  <c r="P27" i="4"/>
  <c r="O27" i="4"/>
  <c r="N27" i="4"/>
  <c r="M27" i="4"/>
  <c r="L27" i="4"/>
  <c r="K27" i="4"/>
  <c r="J27" i="4"/>
  <c r="I27" i="4"/>
  <c r="H27" i="4"/>
  <c r="F27" i="4"/>
  <c r="V26" i="4"/>
  <c r="U26" i="4"/>
  <c r="T26" i="4"/>
  <c r="S26" i="4"/>
  <c r="R26" i="4"/>
  <c r="Q26" i="4"/>
  <c r="P26" i="4"/>
  <c r="O26" i="4"/>
  <c r="N26" i="4"/>
  <c r="M26" i="4"/>
  <c r="L26" i="4"/>
  <c r="K26" i="4"/>
  <c r="J26" i="4"/>
  <c r="I26" i="4"/>
  <c r="H26" i="4"/>
  <c r="F26" i="4"/>
  <c r="V24" i="4"/>
  <c r="BS24" i="4" s="1"/>
  <c r="U24" i="4"/>
  <c r="T24" i="4"/>
  <c r="S24" i="4"/>
  <c r="R24" i="4"/>
  <c r="Q24" i="4"/>
  <c r="P24" i="4"/>
  <c r="O24" i="4"/>
  <c r="N24" i="4"/>
  <c r="M24" i="4"/>
  <c r="L24" i="4"/>
  <c r="K24" i="4"/>
  <c r="J24" i="4"/>
  <c r="I24" i="4"/>
  <c r="H24" i="4"/>
  <c r="F24" i="4"/>
  <c r="V23" i="4"/>
  <c r="BS23" i="4" s="1"/>
  <c r="U23" i="4"/>
  <c r="T23" i="4"/>
  <c r="S23" i="4"/>
  <c r="R23" i="4"/>
  <c r="Q23" i="4"/>
  <c r="P23" i="4"/>
  <c r="O23" i="4"/>
  <c r="N23" i="4"/>
  <c r="M23" i="4"/>
  <c r="L23" i="4"/>
  <c r="K23" i="4"/>
  <c r="J23" i="4"/>
  <c r="I23" i="4"/>
  <c r="H23" i="4"/>
  <c r="F23" i="4"/>
  <c r="V22" i="4"/>
  <c r="U22" i="4"/>
  <c r="T22" i="4"/>
  <c r="S22" i="4"/>
  <c r="R22" i="4"/>
  <c r="Q22" i="4"/>
  <c r="P22" i="4"/>
  <c r="O22" i="4"/>
  <c r="N22" i="4"/>
  <c r="M22" i="4"/>
  <c r="L22" i="4"/>
  <c r="K22" i="4"/>
  <c r="J22" i="4"/>
  <c r="I22" i="4"/>
  <c r="H22" i="4"/>
  <c r="F22" i="4"/>
  <c r="V21" i="4"/>
  <c r="U21" i="4"/>
  <c r="T21" i="4"/>
  <c r="S21" i="4"/>
  <c r="R21" i="4"/>
  <c r="Q21" i="4"/>
  <c r="P21" i="4"/>
  <c r="O21" i="4"/>
  <c r="N21" i="4"/>
  <c r="M21" i="4"/>
  <c r="L21" i="4"/>
  <c r="K21" i="4"/>
  <c r="J21" i="4"/>
  <c r="I21" i="4"/>
  <c r="H21" i="4"/>
  <c r="F21" i="4"/>
  <c r="V20" i="4"/>
  <c r="U20" i="4"/>
  <c r="T20" i="4"/>
  <c r="S20" i="4"/>
  <c r="R20" i="4"/>
  <c r="Q20" i="4"/>
  <c r="P20" i="4"/>
  <c r="O20" i="4"/>
  <c r="N20" i="4"/>
  <c r="M20" i="4"/>
  <c r="L20" i="4"/>
  <c r="K20" i="4"/>
  <c r="J20" i="4"/>
  <c r="I20" i="4"/>
  <c r="H20" i="4"/>
  <c r="F20" i="4"/>
  <c r="V19" i="4"/>
  <c r="U19" i="4"/>
  <c r="T19" i="4"/>
  <c r="S19" i="4"/>
  <c r="R19" i="4"/>
  <c r="Q19" i="4"/>
  <c r="P19" i="4"/>
  <c r="O19" i="4"/>
  <c r="N19" i="4"/>
  <c r="M19" i="4"/>
  <c r="L19" i="4"/>
  <c r="K19" i="4"/>
  <c r="J19" i="4"/>
  <c r="I19" i="4"/>
  <c r="H19" i="4"/>
  <c r="V18" i="4"/>
  <c r="U18" i="4"/>
  <c r="T18" i="4"/>
  <c r="S18" i="4"/>
  <c r="R18" i="4"/>
  <c r="Q18" i="4"/>
  <c r="P18" i="4"/>
  <c r="O18" i="4"/>
  <c r="N18" i="4"/>
  <c r="M18" i="4"/>
  <c r="L18" i="4"/>
  <c r="K18" i="4"/>
  <c r="J18" i="4"/>
  <c r="I18" i="4"/>
  <c r="H18" i="4"/>
  <c r="F18" i="4"/>
  <c r="V17" i="4"/>
  <c r="U17" i="4"/>
  <c r="T17" i="4"/>
  <c r="S17" i="4"/>
  <c r="R17" i="4"/>
  <c r="Q17" i="4"/>
  <c r="P17" i="4"/>
  <c r="O17" i="4"/>
  <c r="N17" i="4"/>
  <c r="M17" i="4"/>
  <c r="L17" i="4"/>
  <c r="K17" i="4"/>
  <c r="J17" i="4"/>
  <c r="I17" i="4"/>
  <c r="H17" i="4"/>
  <c r="F17" i="4"/>
  <c r="V16" i="4"/>
  <c r="U16" i="4"/>
  <c r="T16" i="4"/>
  <c r="S16" i="4"/>
  <c r="R16" i="4"/>
  <c r="Q16" i="4"/>
  <c r="P16" i="4"/>
  <c r="O16" i="4"/>
  <c r="N16" i="4"/>
  <c r="M16" i="4"/>
  <c r="L16" i="4"/>
  <c r="K16" i="4"/>
  <c r="J16" i="4"/>
  <c r="I16" i="4"/>
  <c r="H16" i="4"/>
  <c r="F16" i="4"/>
  <c r="F40" i="4" s="1"/>
  <c r="V14" i="4"/>
  <c r="U14" i="4"/>
  <c r="T14" i="4"/>
  <c r="S14" i="4"/>
  <c r="R14" i="4"/>
  <c r="Q14" i="4"/>
  <c r="P14" i="4"/>
  <c r="O14" i="4"/>
  <c r="N14" i="4"/>
  <c r="M14" i="4"/>
  <c r="L14" i="4"/>
  <c r="K14" i="4"/>
  <c r="J14" i="4"/>
  <c r="I14" i="4"/>
  <c r="H14" i="4"/>
  <c r="F14" i="4"/>
  <c r="V13" i="4"/>
  <c r="U13" i="4"/>
  <c r="T13" i="4"/>
  <c r="S13" i="4"/>
  <c r="R13" i="4"/>
  <c r="Q13" i="4"/>
  <c r="P13" i="4"/>
  <c r="O13" i="4"/>
  <c r="N13" i="4"/>
  <c r="M13" i="4"/>
  <c r="L13" i="4"/>
  <c r="K13" i="4"/>
  <c r="J13" i="4"/>
  <c r="I13" i="4"/>
  <c r="H13" i="4"/>
  <c r="V12" i="4"/>
  <c r="U12" i="4"/>
  <c r="T12" i="4"/>
  <c r="S12" i="4"/>
  <c r="R12" i="4"/>
  <c r="Q12" i="4"/>
  <c r="P12" i="4"/>
  <c r="O12" i="4"/>
  <c r="N12" i="4"/>
  <c r="M12" i="4"/>
  <c r="L12" i="4"/>
  <c r="K12" i="4"/>
  <c r="J12" i="4"/>
  <c r="I12" i="4"/>
  <c r="H12" i="4"/>
  <c r="F12" i="4"/>
  <c r="V11" i="4"/>
  <c r="U11" i="4"/>
  <c r="T11" i="4"/>
  <c r="S11" i="4"/>
  <c r="R11" i="4"/>
  <c r="Q11" i="4"/>
  <c r="P11" i="4"/>
  <c r="O11" i="4"/>
  <c r="N11" i="4"/>
  <c r="M11" i="4"/>
  <c r="L11" i="4"/>
  <c r="K11" i="4"/>
  <c r="J11" i="4"/>
  <c r="I11" i="4"/>
  <c r="H11" i="4"/>
  <c r="F11" i="4"/>
  <c r="V10" i="4"/>
  <c r="U10" i="4"/>
  <c r="T10" i="4"/>
  <c r="S10" i="4"/>
  <c r="R10" i="4"/>
  <c r="Q10" i="4"/>
  <c r="P10" i="4"/>
  <c r="O10" i="4"/>
  <c r="N10" i="4"/>
  <c r="M10" i="4"/>
  <c r="L10" i="4"/>
  <c r="K10" i="4"/>
  <c r="J10" i="4"/>
  <c r="I10" i="4"/>
  <c r="H10" i="4"/>
  <c r="F10" i="4"/>
  <c r="V9" i="4"/>
  <c r="U9" i="4"/>
  <c r="T9" i="4"/>
  <c r="S9" i="4"/>
  <c r="R9" i="4"/>
  <c r="Q9" i="4"/>
  <c r="P9" i="4"/>
  <c r="O9" i="4"/>
  <c r="N9" i="4"/>
  <c r="M9" i="4"/>
  <c r="L9" i="4"/>
  <c r="K9" i="4"/>
  <c r="J9" i="4"/>
  <c r="I9" i="4"/>
  <c r="H9" i="4"/>
  <c r="F9" i="4"/>
  <c r="V8" i="4"/>
  <c r="U8" i="4"/>
  <c r="T8" i="4"/>
  <c r="S8" i="4"/>
  <c r="R8" i="4"/>
  <c r="Q8" i="4"/>
  <c r="P8" i="4"/>
  <c r="O8" i="4"/>
  <c r="N8" i="4"/>
  <c r="M8" i="4"/>
  <c r="L8" i="4"/>
  <c r="K8" i="4"/>
  <c r="J8" i="4"/>
  <c r="I8" i="4"/>
  <c r="H8" i="4"/>
  <c r="F8" i="4"/>
  <c r="V7" i="4"/>
  <c r="U7" i="4"/>
  <c r="T7" i="4"/>
  <c r="S7" i="4"/>
  <c r="R7" i="4"/>
  <c r="Q7" i="4"/>
  <c r="P7" i="4"/>
  <c r="O7" i="4"/>
  <c r="N7" i="4"/>
  <c r="M7" i="4"/>
  <c r="L7" i="4"/>
  <c r="K7" i="4"/>
  <c r="J7" i="4"/>
  <c r="I7" i="4"/>
  <c r="H7" i="4"/>
  <c r="F7" i="4"/>
  <c r="V6" i="4"/>
  <c r="U6" i="4"/>
  <c r="T6" i="4"/>
  <c r="S6" i="4"/>
  <c r="R6" i="4"/>
  <c r="Q6" i="4"/>
  <c r="P6" i="4"/>
  <c r="O6" i="4"/>
  <c r="N6" i="4"/>
  <c r="M6" i="4"/>
  <c r="L6" i="4"/>
  <c r="J6" i="4"/>
  <c r="I6" i="4"/>
  <c r="H6" i="4"/>
  <c r="F6" i="4"/>
  <c r="V4" i="4"/>
  <c r="U4" i="4"/>
  <c r="T4" i="4"/>
  <c r="S4" i="4"/>
  <c r="R4" i="4"/>
  <c r="Q4" i="4"/>
  <c r="P4" i="4"/>
  <c r="O4" i="4"/>
  <c r="N4" i="4"/>
  <c r="M4" i="4"/>
  <c r="L4" i="4"/>
  <c r="K4" i="4"/>
  <c r="J4" i="4"/>
  <c r="I4" i="4"/>
  <c r="H4" i="4"/>
  <c r="B27" i="12" a="1"/>
  <c r="B27" i="12" s="1"/>
  <c r="C27" i="12" a="1"/>
  <c r="C27" i="12" s="1"/>
  <c r="D27" i="12" a="1"/>
  <c r="D27" i="12" s="1"/>
  <c r="E27" i="12" a="1"/>
  <c r="E27" i="12" s="1"/>
  <c r="F27" i="12" a="1"/>
  <c r="F27" i="12" s="1"/>
  <c r="G27" i="12" a="1"/>
  <c r="G27" i="12" s="1"/>
  <c r="H27" i="12" a="1"/>
  <c r="H27" i="12" s="1"/>
  <c r="I27" i="12" a="1"/>
  <c r="I27" i="12" s="1"/>
  <c r="J27" i="12" a="1"/>
  <c r="J27" i="12" s="1"/>
  <c r="K27" i="12" a="1"/>
  <c r="K27" i="12" s="1"/>
  <c r="B15" i="12" a="1"/>
  <c r="B15" i="12" s="1"/>
  <c r="C15" i="12" a="1"/>
  <c r="C15" i="12" s="1"/>
  <c r="D15" i="12" a="1"/>
  <c r="D15" i="12" s="1"/>
  <c r="E15" i="12" a="1"/>
  <c r="E15" i="12" s="1"/>
  <c r="F15" i="12" a="1"/>
  <c r="F15" i="12" s="1"/>
  <c r="G15" i="12" a="1"/>
  <c r="G15" i="12" s="1"/>
  <c r="H15" i="12" a="1"/>
  <c r="H15" i="12" s="1"/>
  <c r="I15" i="12" a="1"/>
  <c r="I15" i="12" s="1"/>
  <c r="J15" i="12" a="1"/>
  <c r="J15" i="12" s="1"/>
  <c r="K15" i="12" a="1"/>
  <c r="K15" i="12" s="1"/>
  <c r="B49" i="12" a="1"/>
  <c r="B49" i="12" s="1"/>
  <c r="C49" i="12" a="1"/>
  <c r="C49" i="12" s="1"/>
  <c r="D49" i="12" a="1"/>
  <c r="D49" i="12" s="1"/>
  <c r="E49" i="12" a="1"/>
  <c r="E49" i="12" s="1"/>
  <c r="F49" i="12" a="1"/>
  <c r="F49" i="12" s="1"/>
  <c r="G49" i="12" a="1"/>
  <c r="G49" i="12" s="1"/>
  <c r="H49" i="12" a="1"/>
  <c r="H49" i="12" s="1"/>
  <c r="I49" i="12" a="1"/>
  <c r="I49" i="12" s="1"/>
  <c r="J49" i="12" a="1"/>
  <c r="J49" i="12" s="1"/>
  <c r="K49" i="12" a="1"/>
  <c r="K49" i="12" s="1"/>
  <c r="B44" i="12" a="1"/>
  <c r="B44" i="12" s="1"/>
  <c r="C44" i="12" a="1"/>
  <c r="C44" i="12" s="1"/>
  <c r="D44" i="12" a="1"/>
  <c r="D44" i="12" s="1"/>
  <c r="E44" i="12" a="1"/>
  <c r="E44" i="12" s="1"/>
  <c r="F44" i="12" a="1"/>
  <c r="F44" i="12" s="1"/>
  <c r="G44" i="12" a="1"/>
  <c r="G44" i="12" s="1"/>
  <c r="H44" i="12" a="1"/>
  <c r="H44" i="12" s="1"/>
  <c r="I44" i="12" a="1"/>
  <c r="I44" i="12" s="1"/>
  <c r="J44" i="12" a="1"/>
  <c r="J44" i="12" s="1"/>
  <c r="K44" i="12" a="1"/>
  <c r="K44" i="12" s="1"/>
  <c r="B54" i="12" a="1"/>
  <c r="B54" i="12" s="1"/>
  <c r="C54" i="12" a="1"/>
  <c r="C54" i="12" s="1"/>
  <c r="D54" i="12" a="1"/>
  <c r="D54" i="12" s="1"/>
  <c r="E54" i="12" a="1"/>
  <c r="E54" i="12" s="1"/>
  <c r="F54" i="12" a="1"/>
  <c r="F54" i="12" s="1"/>
  <c r="G54" i="12" a="1"/>
  <c r="G54" i="12" s="1"/>
  <c r="H54" i="12" a="1"/>
  <c r="H54" i="12" s="1"/>
  <c r="I54" i="12" a="1"/>
  <c r="I54" i="12" s="1"/>
  <c r="J54" i="12" a="1"/>
  <c r="J54" i="12" s="1"/>
  <c r="K54" i="12" a="1"/>
  <c r="K54" i="12" s="1"/>
  <c r="B20" i="12" a="1"/>
  <c r="B20" i="12" s="1"/>
  <c r="C20" i="12" a="1"/>
  <c r="C20" i="12" s="1"/>
  <c r="D20" i="12" a="1"/>
  <c r="D20" i="12" s="1"/>
  <c r="E20" i="12" a="1"/>
  <c r="E20" i="12" s="1"/>
  <c r="F20" i="12" a="1"/>
  <c r="F20" i="12" s="1"/>
  <c r="G20" i="12" a="1"/>
  <c r="G20" i="12" s="1"/>
  <c r="H20" i="12" a="1"/>
  <c r="H20" i="12" s="1"/>
  <c r="I20" i="12" a="1"/>
  <c r="I20" i="12" s="1"/>
  <c r="J20" i="12" a="1"/>
  <c r="J20" i="12" s="1"/>
  <c r="K20" i="12" a="1"/>
  <c r="K20" i="12" s="1"/>
  <c r="B5" i="4"/>
  <c r="B4" i="4"/>
  <c r="B30" i="12" a="1"/>
  <c r="B30" i="12" s="1"/>
  <c r="C30" i="12" a="1"/>
  <c r="C30" i="12" s="1"/>
  <c r="D30" i="12" a="1"/>
  <c r="D30" i="12" s="1"/>
  <c r="E30" i="12" a="1"/>
  <c r="E30" i="12" s="1"/>
  <c r="F30" i="12" a="1"/>
  <c r="F30" i="12" s="1"/>
  <c r="G30" i="12" a="1"/>
  <c r="G30" i="12" s="1"/>
  <c r="H30" i="12" a="1"/>
  <c r="H30" i="12" s="1"/>
  <c r="I30" i="12" a="1"/>
  <c r="I30" i="12" s="1"/>
  <c r="J30" i="12" a="1"/>
  <c r="J30" i="12" s="1"/>
  <c r="K30" i="12" a="1"/>
  <c r="K30" i="12" s="1"/>
  <c r="B11" i="12" a="1"/>
  <c r="B11" i="12" s="1"/>
  <c r="C11" i="12" a="1"/>
  <c r="C11" i="12" s="1"/>
  <c r="D11" i="12" a="1"/>
  <c r="D11" i="12" s="1"/>
  <c r="E11" i="12" a="1"/>
  <c r="E11" i="12" s="1"/>
  <c r="F11" i="12" a="1"/>
  <c r="F11" i="12" s="1"/>
  <c r="G11" i="12" a="1"/>
  <c r="G11" i="12" s="1"/>
  <c r="H11" i="12" a="1"/>
  <c r="H11" i="12" s="1"/>
  <c r="I11" i="12" a="1"/>
  <c r="I11" i="12" s="1"/>
  <c r="J11" i="12" a="1"/>
  <c r="J11" i="12" s="1"/>
  <c r="K11" i="12" a="1"/>
  <c r="K11" i="12" s="1"/>
  <c r="B29" i="12" a="1"/>
  <c r="B29" i="12" s="1"/>
  <c r="C29" i="12" a="1"/>
  <c r="C29" i="12" s="1"/>
  <c r="D29" i="12" a="1"/>
  <c r="D29" i="12" s="1"/>
  <c r="E29" i="12" a="1"/>
  <c r="E29" i="12" s="1"/>
  <c r="F29" i="12" a="1"/>
  <c r="F29" i="12" s="1"/>
  <c r="G29" i="12" a="1"/>
  <c r="G29" i="12" s="1"/>
  <c r="H29" i="12" a="1"/>
  <c r="H29" i="12" s="1"/>
  <c r="I29" i="12" a="1"/>
  <c r="I29" i="12" s="1"/>
  <c r="J29" i="12" a="1"/>
  <c r="J29" i="12" s="1"/>
  <c r="K29" i="12" a="1"/>
  <c r="K29" i="12" s="1"/>
  <c r="B53" i="12" a="1"/>
  <c r="B53" i="12" s="1"/>
  <c r="C53" i="12" a="1"/>
  <c r="C53" i="12" s="1"/>
  <c r="D53" i="12" a="1"/>
  <c r="D53" i="12" s="1"/>
  <c r="E53" i="12" a="1"/>
  <c r="E53" i="12" s="1"/>
  <c r="F53" i="12" a="1"/>
  <c r="F53" i="12" s="1"/>
  <c r="G53" i="12" a="1"/>
  <c r="G53" i="12" s="1"/>
  <c r="H53" i="12" a="1"/>
  <c r="H53" i="12" s="1"/>
  <c r="I53" i="12" a="1"/>
  <c r="I53" i="12" s="1"/>
  <c r="J53" i="12" a="1"/>
  <c r="J53" i="12" s="1"/>
  <c r="K53" i="12" a="1"/>
  <c r="K53" i="12" s="1"/>
  <c r="B10" i="12" a="1"/>
  <c r="B10" i="12" s="1"/>
  <c r="C10" i="12" a="1"/>
  <c r="C10" i="12" s="1"/>
  <c r="D10" i="12" a="1"/>
  <c r="D10" i="12" s="1"/>
  <c r="E10" i="12" a="1"/>
  <c r="E10" i="12" s="1"/>
  <c r="F10" i="12" a="1"/>
  <c r="F10" i="12" s="1"/>
  <c r="G10" i="12" a="1"/>
  <c r="G10" i="12" s="1"/>
  <c r="H10" i="12" a="1"/>
  <c r="H10" i="12" s="1"/>
  <c r="I10" i="12" a="1"/>
  <c r="I10" i="12" s="1"/>
  <c r="J10" i="12" a="1"/>
  <c r="J10" i="12" s="1"/>
  <c r="K10" i="12" a="1"/>
  <c r="K10" i="12" s="1"/>
  <c r="B48" i="12" a="1"/>
  <c r="B48" i="12" s="1"/>
  <c r="C48" i="12" a="1"/>
  <c r="C48" i="12" s="1"/>
  <c r="D48" i="12" a="1"/>
  <c r="D48" i="12" s="1"/>
  <c r="E48" i="12" a="1"/>
  <c r="E48" i="12" s="1"/>
  <c r="F48" i="12" a="1"/>
  <c r="F48" i="12" s="1"/>
  <c r="G48" i="12" a="1"/>
  <c r="G48" i="12" s="1"/>
  <c r="H48" i="12" a="1"/>
  <c r="H48" i="12" s="1"/>
  <c r="I48" i="12" a="1"/>
  <c r="I48" i="12" s="1"/>
  <c r="J48" i="12" a="1"/>
  <c r="J48" i="12" s="1"/>
  <c r="K48" i="12" a="1"/>
  <c r="K48" i="12" s="1"/>
  <c r="B37" i="12" a="1"/>
  <c r="B37" i="12" s="1"/>
  <c r="C37" i="12" a="1"/>
  <c r="C37" i="12" s="1"/>
  <c r="D37" i="12" a="1"/>
  <c r="D37" i="12" s="1"/>
  <c r="E37" i="12" a="1"/>
  <c r="E37" i="12" s="1"/>
  <c r="F37" i="12" a="1"/>
  <c r="F37" i="12" s="1"/>
  <c r="G37" i="12" a="1"/>
  <c r="G37" i="12" s="1"/>
  <c r="H37" i="12" a="1"/>
  <c r="H37" i="12" s="1"/>
  <c r="I37" i="12" a="1"/>
  <c r="I37" i="12" s="1"/>
  <c r="J37" i="12" a="1"/>
  <c r="J37" i="12" s="1"/>
  <c r="K37" i="12" a="1"/>
  <c r="K37" i="12" s="1"/>
  <c r="B31" i="12" a="1"/>
  <c r="B31" i="12" s="1"/>
  <c r="C31" i="12" a="1"/>
  <c r="C31" i="12" s="1"/>
  <c r="D31" i="12" a="1"/>
  <c r="D31" i="12" s="1"/>
  <c r="E31" i="12" a="1"/>
  <c r="E31" i="12" s="1"/>
  <c r="F31" i="12" a="1"/>
  <c r="F31" i="12" s="1"/>
  <c r="G31" i="12" a="1"/>
  <c r="G31" i="12" s="1"/>
  <c r="H31" i="12" a="1"/>
  <c r="H31" i="12" s="1"/>
  <c r="I31" i="12" a="1"/>
  <c r="I31" i="12" s="1"/>
  <c r="J31" i="12" a="1"/>
  <c r="J31" i="12" s="1"/>
  <c r="K31" i="12" a="1"/>
  <c r="K31" i="12" s="1"/>
  <c r="B22" i="12" a="1"/>
  <c r="B22" i="12" s="1"/>
  <c r="C22" i="12" a="1"/>
  <c r="C22" i="12" s="1"/>
  <c r="D22" i="12" a="1"/>
  <c r="D22" i="12" s="1"/>
  <c r="E22" i="12" a="1"/>
  <c r="E22" i="12" s="1"/>
  <c r="F22" i="12" a="1"/>
  <c r="F22" i="12" s="1"/>
  <c r="G22" i="12" a="1"/>
  <c r="G22" i="12" s="1"/>
  <c r="H22" i="12" a="1"/>
  <c r="H22" i="12" s="1"/>
  <c r="I22" i="12" a="1"/>
  <c r="I22" i="12" s="1"/>
  <c r="J22" i="12" a="1"/>
  <c r="J22" i="12" s="1"/>
  <c r="K22" i="12" a="1"/>
  <c r="K22" i="12" s="1"/>
  <c r="B50" i="12" a="1"/>
  <c r="B50" i="12" s="1"/>
  <c r="C50" i="12" a="1"/>
  <c r="C50" i="12" s="1"/>
  <c r="D50" i="12" a="1"/>
  <c r="D50" i="12" s="1"/>
  <c r="E50" i="12" a="1"/>
  <c r="E50" i="12" s="1"/>
  <c r="F50" i="12" a="1"/>
  <c r="F50" i="12" s="1"/>
  <c r="G50" i="12" a="1"/>
  <c r="G50" i="12" s="1"/>
  <c r="H50" i="12" a="1"/>
  <c r="H50" i="12" s="1"/>
  <c r="I50" i="12" a="1"/>
  <c r="I50" i="12" s="1"/>
  <c r="J50" i="12" a="1"/>
  <c r="J50" i="12" s="1"/>
  <c r="K50" i="12" a="1"/>
  <c r="K50" i="12" s="1"/>
  <c r="B45" i="12" a="1"/>
  <c r="B45" i="12" s="1"/>
  <c r="C45" i="12" a="1"/>
  <c r="C45" i="12" s="1"/>
  <c r="D45" i="12" a="1"/>
  <c r="D45" i="12" s="1"/>
  <c r="E45" i="12" a="1"/>
  <c r="E45" i="12" s="1"/>
  <c r="F45" i="12" a="1"/>
  <c r="F45" i="12" s="1"/>
  <c r="G45" i="12" a="1"/>
  <c r="G45" i="12" s="1"/>
  <c r="H45" i="12" a="1"/>
  <c r="H45" i="12" s="1"/>
  <c r="I45" i="12" a="1"/>
  <c r="I45" i="12" s="1"/>
  <c r="J45" i="12" a="1"/>
  <c r="J45" i="12" s="1"/>
  <c r="K45" i="12" a="1"/>
  <c r="K45" i="12" s="1"/>
  <c r="B32" i="12" a="1"/>
  <c r="B32" i="12" s="1"/>
  <c r="C32" i="12" a="1"/>
  <c r="C32" i="12" s="1"/>
  <c r="D32" i="12" a="1"/>
  <c r="D32" i="12" s="1"/>
  <c r="E32" i="12" a="1"/>
  <c r="E32" i="12" s="1"/>
  <c r="F32" i="12" a="1"/>
  <c r="F32" i="12" s="1"/>
  <c r="G32" i="12" a="1"/>
  <c r="G32" i="12" s="1"/>
  <c r="H32" i="12" a="1"/>
  <c r="H32" i="12" s="1"/>
  <c r="I32" i="12" a="1"/>
  <c r="I32" i="12" s="1"/>
  <c r="J32" i="12" a="1"/>
  <c r="J32" i="12" s="1"/>
  <c r="K32" i="12" a="1"/>
  <c r="K32" i="12" s="1"/>
  <c r="B21" i="12" a="1"/>
  <c r="B21" i="12" s="1"/>
  <c r="C21" i="12" a="1"/>
  <c r="C21" i="12" s="1"/>
  <c r="D21" i="12" a="1"/>
  <c r="D21" i="12" s="1"/>
  <c r="E21" i="12" a="1"/>
  <c r="E21" i="12" s="1"/>
  <c r="F21" i="12" a="1"/>
  <c r="F21" i="12" s="1"/>
  <c r="G21" i="12" a="1"/>
  <c r="G21" i="12" s="1"/>
  <c r="H21" i="12" a="1"/>
  <c r="H21" i="12" s="1"/>
  <c r="I21" i="12" a="1"/>
  <c r="I21" i="12" s="1"/>
  <c r="J21" i="12" a="1"/>
  <c r="J21" i="12" s="1"/>
  <c r="K21" i="12" a="1"/>
  <c r="K21" i="12" s="1"/>
  <c r="B46" i="12" a="1"/>
  <c r="B46" i="12" s="1"/>
  <c r="C46" i="12" a="1"/>
  <c r="C46" i="12" s="1"/>
  <c r="D46" i="12" a="1"/>
  <c r="D46" i="12" s="1"/>
  <c r="E46" i="12" a="1"/>
  <c r="E46" i="12" s="1"/>
  <c r="F46" i="12" a="1"/>
  <c r="F46" i="12" s="1"/>
  <c r="G46" i="12" a="1"/>
  <c r="G46" i="12" s="1"/>
  <c r="H46" i="12" a="1"/>
  <c r="H46" i="12" s="1"/>
  <c r="I46" i="12" a="1"/>
  <c r="I46" i="12" s="1"/>
  <c r="J46" i="12" a="1"/>
  <c r="J46" i="12" s="1"/>
  <c r="K46" i="12" a="1"/>
  <c r="K46" i="12" s="1"/>
  <c r="B14" i="12" a="1"/>
  <c r="B14" i="12" s="1"/>
  <c r="C14" i="12" a="1"/>
  <c r="C14" i="12" s="1"/>
  <c r="D14" i="12" a="1"/>
  <c r="D14" i="12" s="1"/>
  <c r="E14" i="12" a="1"/>
  <c r="E14" i="12" s="1"/>
  <c r="F14" i="12" a="1"/>
  <c r="F14" i="12" s="1"/>
  <c r="G14" i="12" a="1"/>
  <c r="G14" i="12" s="1"/>
  <c r="H14" i="12" a="1"/>
  <c r="H14" i="12" s="1"/>
  <c r="I14" i="12" a="1"/>
  <c r="I14" i="12" s="1"/>
  <c r="J14" i="12" a="1"/>
  <c r="J14" i="12" s="1"/>
  <c r="K14" i="12" a="1"/>
  <c r="K14" i="12" s="1"/>
  <c r="B51" i="12" a="1"/>
  <c r="B51" i="12" s="1"/>
  <c r="C51" i="12" a="1"/>
  <c r="C51" i="12" s="1"/>
  <c r="D51" i="12" a="1"/>
  <c r="D51" i="12" s="1"/>
  <c r="E51" i="12" a="1"/>
  <c r="E51" i="12" s="1"/>
  <c r="F51" i="12" a="1"/>
  <c r="F51" i="12" s="1"/>
  <c r="G51" i="12" a="1"/>
  <c r="G51" i="12" s="1"/>
  <c r="H51" i="12" a="1"/>
  <c r="H51" i="12" s="1"/>
  <c r="I51" i="12" a="1"/>
  <c r="I51" i="12" s="1"/>
  <c r="J51" i="12" a="1"/>
  <c r="J51" i="12" s="1"/>
  <c r="K51" i="12" a="1"/>
  <c r="K51" i="12" s="1"/>
  <c r="B23" i="12" a="1"/>
  <c r="B23" i="12" s="1"/>
  <c r="C23" i="12" a="1"/>
  <c r="C23" i="12" s="1"/>
  <c r="D23" i="12" a="1"/>
  <c r="D23" i="12" s="1"/>
  <c r="E23" i="12" a="1"/>
  <c r="E23" i="12" s="1"/>
  <c r="F23" i="12" a="1"/>
  <c r="F23" i="12" s="1"/>
  <c r="G23" i="12" a="1"/>
  <c r="G23" i="12" s="1"/>
  <c r="H23" i="12" a="1"/>
  <c r="H23" i="12" s="1"/>
  <c r="I23" i="12" a="1"/>
  <c r="I23" i="12" s="1"/>
  <c r="J23" i="12" a="1"/>
  <c r="J23" i="12" s="1"/>
  <c r="K23" i="12" a="1"/>
  <c r="K23" i="12" s="1"/>
  <c r="B33" i="12" a="1"/>
  <c r="B33" i="12" s="1"/>
  <c r="C33" i="12" a="1"/>
  <c r="C33" i="12" s="1"/>
  <c r="D33" i="12" a="1"/>
  <c r="D33" i="12" s="1"/>
  <c r="E33" i="12" a="1"/>
  <c r="E33" i="12" s="1"/>
  <c r="F33" i="12" a="1"/>
  <c r="F33" i="12" s="1"/>
  <c r="G33" i="12" a="1"/>
  <c r="G33" i="12" s="1"/>
  <c r="H33" i="12" a="1"/>
  <c r="H33" i="12" s="1"/>
  <c r="I33" i="12" a="1"/>
  <c r="I33" i="12" s="1"/>
  <c r="J33" i="12" a="1"/>
  <c r="J33" i="12" s="1"/>
  <c r="K33" i="12" a="1"/>
  <c r="K33" i="12" s="1"/>
  <c r="B34" i="12" a="1"/>
  <c r="B34" i="12" s="1"/>
  <c r="C34" i="12" a="1"/>
  <c r="C34" i="12" s="1"/>
  <c r="D34" i="12" a="1"/>
  <c r="D34" i="12" s="1"/>
  <c r="E34" i="12" a="1"/>
  <c r="E34" i="12" s="1"/>
  <c r="F34" i="12" a="1"/>
  <c r="F34" i="12" s="1"/>
  <c r="G34" i="12" a="1"/>
  <c r="G34" i="12" s="1"/>
  <c r="H34" i="12" a="1"/>
  <c r="H34" i="12" s="1"/>
  <c r="I34" i="12" a="1"/>
  <c r="I34" i="12" s="1"/>
  <c r="J34" i="12" a="1"/>
  <c r="J34" i="12" s="1"/>
  <c r="K34" i="12" a="1"/>
  <c r="K34" i="12" s="1"/>
  <c r="B24" i="12" a="1"/>
  <c r="B24" i="12" s="1"/>
  <c r="C24" i="12" a="1"/>
  <c r="C24" i="12" s="1"/>
  <c r="D24" i="12" a="1"/>
  <c r="D24" i="12" s="1"/>
  <c r="E24" i="12" a="1"/>
  <c r="E24" i="12" s="1"/>
  <c r="F24" i="12" a="1"/>
  <c r="F24" i="12" s="1"/>
  <c r="G24" i="12" a="1"/>
  <c r="G24" i="12" s="1"/>
  <c r="H24" i="12" a="1"/>
  <c r="H24" i="12" s="1"/>
  <c r="I24" i="12" a="1"/>
  <c r="I24" i="12" s="1"/>
  <c r="J24" i="12" a="1"/>
  <c r="J24" i="12" s="1"/>
  <c r="K24" i="12" a="1"/>
  <c r="K24" i="12" s="1"/>
  <c r="B35" i="12" a="1"/>
  <c r="B35" i="12" s="1"/>
  <c r="C35" i="12" a="1"/>
  <c r="C35" i="12" s="1"/>
  <c r="D35" i="12" a="1"/>
  <c r="D35" i="12" s="1"/>
  <c r="E35" i="12" a="1"/>
  <c r="E35" i="12" s="1"/>
  <c r="F35" i="12" a="1"/>
  <c r="F35" i="12" s="1"/>
  <c r="G35" i="12" a="1"/>
  <c r="G35" i="12" s="1"/>
  <c r="H35" i="12" a="1"/>
  <c r="H35" i="12" s="1"/>
  <c r="I35" i="12" a="1"/>
  <c r="I35" i="12" s="1"/>
  <c r="J35" i="12" a="1"/>
  <c r="J35" i="12" s="1"/>
  <c r="K35" i="12" a="1"/>
  <c r="K35" i="12" s="1"/>
  <c r="B38" i="12" a="1"/>
  <c r="B38" i="12" s="1"/>
  <c r="C38" i="12" a="1"/>
  <c r="C38" i="12" s="1"/>
  <c r="D38" i="12" a="1"/>
  <c r="D38" i="12" s="1"/>
  <c r="E38" i="12" a="1"/>
  <c r="E38" i="12" s="1"/>
  <c r="F38" i="12" a="1"/>
  <c r="F38" i="12" s="1"/>
  <c r="G38" i="12" a="1"/>
  <c r="G38" i="12" s="1"/>
  <c r="H38" i="12" a="1"/>
  <c r="H38" i="12" s="1"/>
  <c r="I38" i="12" a="1"/>
  <c r="I38" i="12" s="1"/>
  <c r="J38" i="12" a="1"/>
  <c r="J38" i="12" s="1"/>
  <c r="K38" i="12" a="1"/>
  <c r="K38" i="12" s="1"/>
  <c r="B52" i="12" a="1"/>
  <c r="B52" i="12" s="1"/>
  <c r="C52" i="12" a="1"/>
  <c r="C52" i="12" s="1"/>
  <c r="D52" i="12" a="1"/>
  <c r="D52" i="12" s="1"/>
  <c r="E52" i="12" a="1"/>
  <c r="E52" i="12" s="1"/>
  <c r="F52" i="12" a="1"/>
  <c r="F52" i="12" s="1"/>
  <c r="G52" i="12" a="1"/>
  <c r="G52" i="12" s="1"/>
  <c r="H52" i="12" a="1"/>
  <c r="H52" i="12" s="1"/>
  <c r="I52" i="12" a="1"/>
  <c r="I52" i="12" s="1"/>
  <c r="J52" i="12" a="1"/>
  <c r="J52" i="12" s="1"/>
  <c r="K52" i="12" a="1"/>
  <c r="K52" i="12" s="1"/>
  <c r="B36" i="12" a="1"/>
  <c r="B36" i="12" s="1"/>
  <c r="C36" i="12" a="1"/>
  <c r="C36" i="12" s="1"/>
  <c r="D36" i="12" a="1"/>
  <c r="D36" i="12" s="1"/>
  <c r="E36" i="12" a="1"/>
  <c r="E36" i="12" s="1"/>
  <c r="F36" i="12" a="1"/>
  <c r="F36" i="12" s="1"/>
  <c r="G36" i="12" a="1"/>
  <c r="G36" i="12" s="1"/>
  <c r="H36" i="12" a="1"/>
  <c r="H36" i="12" s="1"/>
  <c r="I36" i="12" a="1"/>
  <c r="I36" i="12" s="1"/>
  <c r="J36" i="12" a="1"/>
  <c r="J36" i="12" s="1"/>
  <c r="K36" i="12" a="1"/>
  <c r="K36" i="12" s="1"/>
  <c r="B39" i="12" a="1"/>
  <c r="B39" i="12" s="1"/>
  <c r="C39" i="12" a="1"/>
  <c r="C39" i="12" s="1"/>
  <c r="D39" i="12" a="1"/>
  <c r="D39" i="12" s="1"/>
  <c r="E39" i="12" a="1"/>
  <c r="E39" i="12" s="1"/>
  <c r="F39" i="12" a="1"/>
  <c r="F39" i="12" s="1"/>
  <c r="G39" i="12" a="1"/>
  <c r="G39" i="12" s="1"/>
  <c r="H39" i="12" a="1"/>
  <c r="H39" i="12" s="1"/>
  <c r="I39" i="12" a="1"/>
  <c r="I39" i="12" s="1"/>
  <c r="J39" i="12" a="1"/>
  <c r="J39" i="12" s="1"/>
  <c r="K39" i="12" a="1"/>
  <c r="K39" i="12" s="1"/>
  <c r="B41" i="12" a="1"/>
  <c r="B41" i="12" s="1"/>
  <c r="C41" i="12" a="1"/>
  <c r="C41" i="12" s="1"/>
  <c r="D41" i="12" a="1"/>
  <c r="D41" i="12" s="1"/>
  <c r="E41" i="12" a="1"/>
  <c r="E41" i="12" s="1"/>
  <c r="F41" i="12" a="1"/>
  <c r="F41" i="12" s="1"/>
  <c r="G41" i="12" a="1"/>
  <c r="G41" i="12" s="1"/>
  <c r="H41" i="12" a="1"/>
  <c r="H41" i="12" s="1"/>
  <c r="I41" i="12" a="1"/>
  <c r="I41" i="12" s="1"/>
  <c r="J41" i="12" a="1"/>
  <c r="J41" i="12" s="1"/>
  <c r="K41" i="12" a="1"/>
  <c r="K41" i="12" s="1"/>
  <c r="B13" i="12" a="1"/>
  <c r="B13" i="12" s="1"/>
  <c r="C13" i="12" a="1"/>
  <c r="C13" i="12" s="1"/>
  <c r="D13" i="12" a="1"/>
  <c r="D13" i="12" s="1"/>
  <c r="E13" i="12" a="1"/>
  <c r="E13" i="12" s="1"/>
  <c r="F13" i="12" a="1"/>
  <c r="F13" i="12" s="1"/>
  <c r="G13" i="12" a="1"/>
  <c r="G13" i="12" s="1"/>
  <c r="H13" i="12" a="1"/>
  <c r="H13" i="12" s="1"/>
  <c r="I13" i="12" a="1"/>
  <c r="I13" i="12" s="1"/>
  <c r="J13" i="12" a="1"/>
  <c r="J13" i="12" s="1"/>
  <c r="K13" i="12" a="1"/>
  <c r="K13" i="12" s="1"/>
  <c r="B42" i="12" a="1"/>
  <c r="B42" i="12" s="1"/>
  <c r="C42" i="12" a="1"/>
  <c r="C42" i="12" s="1"/>
  <c r="D42" i="12" a="1"/>
  <c r="D42" i="12" s="1"/>
  <c r="E42" i="12" a="1"/>
  <c r="E42" i="12" s="1"/>
  <c r="F42" i="12" a="1"/>
  <c r="F42" i="12" s="1"/>
  <c r="G42" i="12" a="1"/>
  <c r="G42" i="12" s="1"/>
  <c r="H42" i="12" a="1"/>
  <c r="H42" i="12" s="1"/>
  <c r="I42" i="12" a="1"/>
  <c r="I42" i="12" s="1"/>
  <c r="J42" i="12" a="1"/>
  <c r="J42" i="12" s="1"/>
  <c r="K42" i="12" a="1"/>
  <c r="K42" i="12" s="1"/>
  <c r="B47" i="12" a="1"/>
  <c r="B47" i="12" s="1"/>
  <c r="C47" i="12" a="1"/>
  <c r="C47" i="12" s="1"/>
  <c r="D47" i="12" a="1"/>
  <c r="D47" i="12" s="1"/>
  <c r="E47" i="12" a="1"/>
  <c r="E47" i="12" s="1"/>
  <c r="F47" i="12" a="1"/>
  <c r="F47" i="12" s="1"/>
  <c r="G47" i="12" a="1"/>
  <c r="G47" i="12" s="1"/>
  <c r="H47" i="12" a="1"/>
  <c r="H47" i="12" s="1"/>
  <c r="I47" i="12" a="1"/>
  <c r="I47" i="12" s="1"/>
  <c r="J47" i="12" a="1"/>
  <c r="J47" i="12" s="1"/>
  <c r="K47" i="12" a="1"/>
  <c r="K47" i="12" s="1"/>
  <c r="B16" i="12" a="1"/>
  <c r="B16" i="12" s="1"/>
  <c r="C16" i="12" a="1"/>
  <c r="C16" i="12" s="1"/>
  <c r="D16" i="12" a="1"/>
  <c r="D16" i="12" s="1"/>
  <c r="E16" i="12" a="1"/>
  <c r="E16" i="12" s="1"/>
  <c r="F16" i="12" a="1"/>
  <c r="F16" i="12" s="1"/>
  <c r="G16" i="12" a="1"/>
  <c r="G16" i="12" s="1"/>
  <c r="H16" i="12" a="1"/>
  <c r="H16" i="12" s="1"/>
  <c r="I16" i="12" a="1"/>
  <c r="I16" i="12" s="1"/>
  <c r="J16" i="12" a="1"/>
  <c r="J16" i="12" s="1"/>
  <c r="K16" i="12" a="1"/>
  <c r="K16" i="12" s="1"/>
  <c r="B40" i="12" a="1"/>
  <c r="B40" i="12" s="1"/>
  <c r="C40" i="12" a="1"/>
  <c r="C40" i="12" s="1"/>
  <c r="D40" i="12" a="1"/>
  <c r="D40" i="12" s="1"/>
  <c r="E40" i="12" a="1"/>
  <c r="E40" i="12" s="1"/>
  <c r="F40" i="12" a="1"/>
  <c r="F40" i="12" s="1"/>
  <c r="G40" i="12" a="1"/>
  <c r="G40" i="12" s="1"/>
  <c r="H40" i="12" a="1"/>
  <c r="H40" i="12" s="1"/>
  <c r="I40" i="12" a="1"/>
  <c r="I40" i="12" s="1"/>
  <c r="J40" i="12" a="1"/>
  <c r="J40" i="12" s="1"/>
  <c r="K40" i="12" a="1"/>
  <c r="K40" i="12" s="1"/>
  <c r="B17" i="12" a="1"/>
  <c r="B17" i="12" s="1"/>
  <c r="C17" i="12" a="1"/>
  <c r="C17" i="12" s="1"/>
  <c r="D17" i="12" a="1"/>
  <c r="D17" i="12" s="1"/>
  <c r="E17" i="12" a="1"/>
  <c r="E17" i="12" s="1"/>
  <c r="F17" i="12" a="1"/>
  <c r="F17" i="12" s="1"/>
  <c r="G17" i="12" a="1"/>
  <c r="G17" i="12" s="1"/>
  <c r="H17" i="12" a="1"/>
  <c r="H17" i="12" s="1"/>
  <c r="I17" i="12" a="1"/>
  <c r="I17" i="12" s="1"/>
  <c r="J17" i="12" a="1"/>
  <c r="J17" i="12" s="1"/>
  <c r="K17" i="12" a="1"/>
  <c r="K17" i="12" s="1"/>
  <c r="B43" i="12" a="1"/>
  <c r="B43" i="12" s="1"/>
  <c r="C43" i="12" a="1"/>
  <c r="C43" i="12" s="1"/>
  <c r="D43" i="12" a="1"/>
  <c r="D43" i="12" s="1"/>
  <c r="E43" i="12" a="1"/>
  <c r="E43" i="12" s="1"/>
  <c r="F43" i="12" a="1"/>
  <c r="F43" i="12" s="1"/>
  <c r="G43" i="12" a="1"/>
  <c r="G43" i="12" s="1"/>
  <c r="H43" i="12" a="1"/>
  <c r="H43" i="12" s="1"/>
  <c r="I43" i="12" a="1"/>
  <c r="I43" i="12" s="1"/>
  <c r="J43" i="12" a="1"/>
  <c r="J43" i="12" s="1"/>
  <c r="K43" i="12" a="1"/>
  <c r="K43" i="12" s="1"/>
  <c r="B12" i="12" a="1"/>
  <c r="B12" i="12" s="1"/>
  <c r="C12" i="12" a="1"/>
  <c r="C12" i="12" s="1"/>
  <c r="D12" i="12" a="1"/>
  <c r="D12" i="12" s="1"/>
  <c r="E12" i="12" a="1"/>
  <c r="E12" i="12" s="1"/>
  <c r="F12" i="12" a="1"/>
  <c r="F12" i="12" s="1"/>
  <c r="G12" i="12" a="1"/>
  <c r="G12" i="12" s="1"/>
  <c r="H12" i="12" a="1"/>
  <c r="H12" i="12" s="1"/>
  <c r="I12" i="12" a="1"/>
  <c r="I12" i="12" s="1"/>
  <c r="J12" i="12" a="1"/>
  <c r="J12" i="12" s="1"/>
  <c r="K12" i="12" a="1"/>
  <c r="K12" i="12" s="1"/>
  <c r="B25" i="12" a="1"/>
  <c r="B25" i="12" s="1"/>
  <c r="C25" i="12" a="1"/>
  <c r="C25" i="12" s="1"/>
  <c r="D25" i="12" a="1"/>
  <c r="D25" i="12" s="1"/>
  <c r="E25" i="12" a="1"/>
  <c r="E25" i="12" s="1"/>
  <c r="F25" i="12" a="1"/>
  <c r="F25" i="12" s="1"/>
  <c r="G25" i="12" a="1"/>
  <c r="G25" i="12" s="1"/>
  <c r="H25" i="12" a="1"/>
  <c r="H25" i="12" s="1"/>
  <c r="I25" i="12" a="1"/>
  <c r="I25" i="12" s="1"/>
  <c r="J25" i="12" a="1"/>
  <c r="J25" i="12" s="1"/>
  <c r="K25" i="12" a="1"/>
  <c r="K25" i="12" s="1"/>
  <c r="B26" i="12" a="1"/>
  <c r="B26" i="12" s="1"/>
  <c r="C26" i="12" a="1"/>
  <c r="C26" i="12" s="1"/>
  <c r="D26" i="12" a="1"/>
  <c r="D26" i="12" s="1"/>
  <c r="E26" i="12" a="1"/>
  <c r="E26" i="12" s="1"/>
  <c r="F26" i="12" a="1"/>
  <c r="F26" i="12" s="1"/>
  <c r="G26" i="12" a="1"/>
  <c r="G26" i="12" s="1"/>
  <c r="H26" i="12" a="1"/>
  <c r="H26" i="12" s="1"/>
  <c r="I26" i="12" a="1"/>
  <c r="I26" i="12" s="1"/>
  <c r="J26" i="12" a="1"/>
  <c r="J26" i="12" s="1"/>
  <c r="K26" i="12" a="1"/>
  <c r="K26" i="12" s="1"/>
  <c r="B7" i="4"/>
  <c r="B3" i="12" a="1"/>
  <c r="B3" i="12" s="1"/>
  <c r="C3" i="12" a="1"/>
  <c r="C3" i="12" s="1"/>
  <c r="D3" i="12" a="1"/>
  <c r="D3" i="12" s="1"/>
  <c r="E3" i="12" a="1"/>
  <c r="E3" i="12" s="1"/>
  <c r="F3" i="12" a="1"/>
  <c r="F3" i="12" s="1"/>
  <c r="G3" i="12" a="1"/>
  <c r="G3" i="12" s="1"/>
  <c r="H3" i="12" a="1"/>
  <c r="H3" i="12" s="1"/>
  <c r="I3" i="12" a="1"/>
  <c r="I3" i="12" s="1"/>
  <c r="B4" i="12" a="1"/>
  <c r="B4" i="12" s="1"/>
  <c r="C4" i="12" a="1"/>
  <c r="C4" i="12" s="1"/>
  <c r="D4" i="12" a="1"/>
  <c r="D4" i="12" s="1"/>
  <c r="E4" i="12" a="1"/>
  <c r="E4" i="12" s="1"/>
  <c r="F4" i="12" a="1"/>
  <c r="F4" i="12" s="1"/>
  <c r="G4" i="12" a="1"/>
  <c r="G4" i="12" s="1"/>
  <c r="H4" i="12" a="1"/>
  <c r="H4" i="12" s="1"/>
  <c r="I4" i="12" a="1"/>
  <c r="I4" i="12" s="1"/>
  <c r="BE26" i="4" l="1"/>
  <c r="AA27" i="4"/>
  <c r="AA8" i="4"/>
  <c r="AA10" i="4"/>
  <c r="AA12" i="4"/>
  <c r="F13" i="4"/>
  <c r="Z11" i="4"/>
  <c r="Z9" i="4"/>
  <c r="AA20" i="4"/>
  <c r="AA41" i="4"/>
  <c r="AA42" i="4"/>
  <c r="AA45" i="4"/>
  <c r="AA49" i="4"/>
  <c r="AA50" i="4"/>
  <c r="AA51" i="4"/>
  <c r="I46" i="4"/>
  <c r="Q46" i="4"/>
  <c r="Q44" i="4"/>
  <c r="K44" i="4"/>
  <c r="S44" i="4"/>
  <c r="AA16" i="4"/>
  <c r="I44" i="4"/>
  <c r="R46" i="4"/>
  <c r="M43" i="4"/>
  <c r="N46" i="4"/>
  <c r="V46" i="4"/>
  <c r="V43" i="4"/>
  <c r="U43" i="4"/>
  <c r="Z13" i="4"/>
  <c r="AA14" i="4"/>
  <c r="Z16" i="4"/>
  <c r="O46" i="4"/>
  <c r="AA21" i="4"/>
  <c r="AA22" i="4"/>
  <c r="AA23" i="4"/>
  <c r="AA24" i="4"/>
  <c r="AA26" i="4"/>
  <c r="AA29" i="4"/>
  <c r="AA39" i="4"/>
  <c r="J46" i="4"/>
  <c r="Z48" i="4"/>
  <c r="AA30" i="4"/>
  <c r="AA32" i="4"/>
  <c r="AA33" i="4"/>
  <c r="Z34" i="4"/>
  <c r="AA35" i="4"/>
  <c r="AA36" i="4"/>
  <c r="AA38" i="4"/>
  <c r="AA40" i="4"/>
  <c r="AA11" i="4"/>
  <c r="AA13" i="4"/>
  <c r="M46" i="4"/>
  <c r="U46" i="4"/>
  <c r="O44" i="4"/>
  <c r="AA18" i="4"/>
  <c r="N43" i="4"/>
  <c r="AA7" i="4"/>
  <c r="Z18" i="4"/>
  <c r="Z20" i="4"/>
  <c r="Z39" i="4"/>
  <c r="AA17" i="4"/>
  <c r="P46" i="4"/>
  <c r="P43" i="4"/>
  <c r="AA19" i="4"/>
  <c r="N44" i="4"/>
  <c r="V44" i="4"/>
  <c r="R44" i="4"/>
  <c r="K46" i="4"/>
  <c r="S46" i="4"/>
  <c r="K43" i="4"/>
  <c r="S43" i="4"/>
  <c r="P44" i="4"/>
  <c r="Z27" i="4"/>
  <c r="Z22" i="4"/>
  <c r="J44" i="4"/>
  <c r="Z24" i="4"/>
  <c r="AA6" i="4"/>
  <c r="Z7" i="4"/>
  <c r="AA9" i="4"/>
  <c r="L46" i="4"/>
  <c r="T46" i="4"/>
  <c r="L43" i="4"/>
  <c r="T43" i="4"/>
  <c r="AA28" i="4"/>
  <c r="Z29" i="4"/>
  <c r="AA34" i="4"/>
  <c r="AA48" i="4"/>
  <c r="F46" i="4"/>
  <c r="F44" i="4"/>
  <c r="Y6" i="4"/>
  <c r="Y8" i="4"/>
  <c r="Y14" i="4"/>
  <c r="Y17" i="4"/>
  <c r="Y19" i="4"/>
  <c r="F43" i="4"/>
  <c r="O43" i="4"/>
  <c r="Y7" i="4"/>
  <c r="Y9" i="4"/>
  <c r="Y11" i="4"/>
  <c r="Y13" i="4"/>
  <c r="Y16" i="4"/>
  <c r="Y18" i="4"/>
  <c r="Y20" i="4"/>
  <c r="Y22" i="4"/>
  <c r="Y24" i="4"/>
  <c r="Y27" i="4"/>
  <c r="Y29" i="4"/>
  <c r="Y32" i="4"/>
  <c r="Y34" i="4"/>
  <c r="Y36" i="4"/>
  <c r="Y39" i="4"/>
  <c r="Y41" i="4"/>
  <c r="H43" i="4"/>
  <c r="L44" i="4"/>
  <c r="T44" i="4"/>
  <c r="Y45" i="4"/>
  <c r="Y48" i="4"/>
  <c r="Y50" i="4"/>
  <c r="Z32" i="4"/>
  <c r="Z36" i="4"/>
  <c r="Z41" i="4"/>
  <c r="I43" i="4"/>
  <c r="Q43" i="4"/>
  <c r="M44" i="4"/>
  <c r="U44" i="4"/>
  <c r="Z45" i="4"/>
  <c r="Z50" i="4"/>
  <c r="F41" i="4"/>
  <c r="J43" i="4"/>
  <c r="R43" i="4"/>
  <c r="Y12" i="4"/>
  <c r="F19" i="4"/>
  <c r="Y10" i="4"/>
  <c r="Y21" i="4"/>
  <c r="Y23" i="4"/>
  <c r="Y26" i="4"/>
  <c r="Y28" i="4"/>
  <c r="Y30" i="4"/>
  <c r="Y33" i="4"/>
  <c r="Y35" i="4"/>
  <c r="Y38" i="4"/>
  <c r="Y40" i="4"/>
  <c r="Y42" i="4"/>
  <c r="H44" i="4"/>
  <c r="H46" i="4"/>
  <c r="Y49" i="4"/>
  <c r="Y51" i="4"/>
  <c r="Z6" i="4"/>
  <c r="Z8" i="4"/>
  <c r="Z10" i="4"/>
  <c r="Z12" i="4"/>
  <c r="Z14" i="4"/>
  <c r="Z17" i="4"/>
  <c r="Z19" i="4"/>
  <c r="Z21" i="4"/>
  <c r="Z23" i="4"/>
  <c r="Z26" i="4"/>
  <c r="Z28" i="4"/>
  <c r="Z30" i="4"/>
  <c r="Z33" i="4"/>
  <c r="Z35" i="4"/>
  <c r="Z38" i="4"/>
  <c r="Z40" i="4"/>
  <c r="Z42" i="4"/>
  <c r="Z49" i="4"/>
  <c r="Z51" i="4"/>
  <c r="BQ36" i="4"/>
  <c r="BP36" i="4"/>
  <c r="BG36" i="4"/>
  <c r="BN24" i="4"/>
  <c r="BF24" i="4"/>
  <c r="BO36" i="4"/>
  <c r="BG23" i="4"/>
  <c r="BO23" i="4"/>
  <c r="BR36" i="4"/>
  <c r="BQ23" i="4"/>
  <c r="BR24" i="4"/>
  <c r="BI23" i="4"/>
  <c r="BH24" i="4"/>
  <c r="BH36" i="4"/>
  <c r="BP23" i="4"/>
  <c r="BH23" i="4"/>
  <c r="BO24" i="4"/>
  <c r="BG24" i="4"/>
  <c r="BK36" i="4"/>
  <c r="BK23" i="4"/>
  <c r="BR23" i="4"/>
  <c r="BL23" i="4"/>
  <c r="BK24" i="4"/>
  <c r="BJ36" i="4"/>
  <c r="BJ23" i="4"/>
  <c r="BI36" i="4"/>
  <c r="BP24" i="4"/>
  <c r="BM23" i="4"/>
  <c r="BL24" i="4"/>
  <c r="BF36" i="4"/>
  <c r="BF23" i="4"/>
  <c r="BN36" i="4"/>
  <c r="BN23" i="4"/>
  <c r="BM24" i="4"/>
  <c r="BE23" i="4"/>
  <c r="BJ24" i="4"/>
  <c r="BE36" i="4"/>
  <c r="BQ24" i="4"/>
  <c r="BI24" i="4"/>
  <c r="BM36" i="4"/>
  <c r="BL36" i="4"/>
  <c r="BE24" i="4"/>
  <c r="BS9" i="4"/>
  <c r="BS8" i="4"/>
  <c r="BS38" i="4"/>
  <c r="BS29" i="4"/>
  <c r="BS13" i="4"/>
  <c r="BS19" i="4"/>
  <c r="BS30" i="4"/>
  <c r="BS28" i="4"/>
  <c r="BS27" i="4"/>
  <c r="BE22" i="4"/>
  <c r="BS22" i="4"/>
  <c r="BS21" i="4"/>
  <c r="BS20" i="4"/>
  <c r="BS18" i="4"/>
  <c r="BS16" i="4"/>
  <c r="BS14" i="4"/>
  <c r="BS11" i="4"/>
  <c r="X23" i="4" l="1"/>
  <c r="AA46" i="4"/>
  <c r="Z46" i="4"/>
  <c r="Y46" i="4"/>
  <c r="AA43" i="4"/>
  <c r="Z43" i="4"/>
  <c r="Y43" i="4"/>
  <c r="X24" i="4"/>
  <c r="AA44" i="4"/>
  <c r="Z44" i="4"/>
  <c r="Y44" i="4"/>
  <c r="X36" i="4"/>
  <c r="BP46" i="4"/>
  <c r="BJ46" i="4"/>
  <c r="BH46" i="4"/>
  <c r="BO46" i="4"/>
  <c r="BG46" i="4"/>
  <c r="BM46" i="4"/>
  <c r="BN46" i="4"/>
  <c r="BL46" i="4"/>
  <c r="BK46" i="4"/>
  <c r="BF46" i="4"/>
  <c r="BQ46" i="4"/>
  <c r="BI46" i="4"/>
  <c r="BS17" i="4"/>
  <c r="BS46" i="4"/>
  <c r="BI18" i="4"/>
  <c r="BO20" i="4"/>
  <c r="BG20" i="4"/>
  <c r="BM21" i="4"/>
  <c r="BK22" i="4"/>
  <c r="BL27" i="4"/>
  <c r="BK28" i="4"/>
  <c r="BK30" i="4"/>
  <c r="BQ19" i="4"/>
  <c r="BI19" i="4"/>
  <c r="BO14" i="4"/>
  <c r="BQ17" i="4"/>
  <c r="BK21" i="4"/>
  <c r="BG18" i="4"/>
  <c r="BI22" i="4"/>
  <c r="BR27" i="4"/>
  <c r="BJ27" i="4"/>
  <c r="BQ28" i="4"/>
  <c r="BM38" i="4"/>
  <c r="BM8" i="4"/>
  <c r="BK9" i="4"/>
  <c r="BN16" i="4"/>
  <c r="BF16" i="4"/>
  <c r="BM20" i="4"/>
  <c r="BK8" i="4"/>
  <c r="BQ9" i="4"/>
  <c r="BI9" i="4"/>
  <c r="BG14" i="4"/>
  <c r="BI17" i="4"/>
  <c r="BQ22" i="4"/>
  <c r="BO18" i="4"/>
  <c r="BL16" i="4"/>
  <c r="BO17" i="4"/>
  <c r="BQ21" i="4"/>
  <c r="BO28" i="4"/>
  <c r="BK20" i="4"/>
  <c r="BH27" i="4"/>
  <c r="BM19" i="4"/>
  <c r="BL13" i="4"/>
  <c r="BK29" i="4"/>
  <c r="BK38" i="4"/>
  <c r="BP27" i="4"/>
  <c r="BG22" i="4"/>
  <c r="BG30" i="4"/>
  <c r="BM14" i="4"/>
  <c r="BM18" i="4"/>
  <c r="BO22" i="4"/>
  <c r="BG28" i="4"/>
  <c r="BG17" i="4"/>
  <c r="BI21" i="4"/>
  <c r="BO30" i="4"/>
  <c r="BI14" i="4"/>
  <c r="BH16" i="4"/>
  <c r="BP16" i="4"/>
  <c r="BK17" i="4"/>
  <c r="BI28" i="4"/>
  <c r="BQ30" i="4"/>
  <c r="BI30" i="4"/>
  <c r="BO19" i="4"/>
  <c r="BG19" i="4"/>
  <c r="BN13" i="4"/>
  <c r="BF13" i="4"/>
  <c r="BM29" i="4"/>
  <c r="BQ14" i="4"/>
  <c r="BQ18" i="4"/>
  <c r="BE38" i="4"/>
  <c r="BN14" i="4"/>
  <c r="BF14" i="4"/>
  <c r="BM16" i="4"/>
  <c r="BE16" i="4"/>
  <c r="BP17" i="4"/>
  <c r="BH17" i="4"/>
  <c r="BN18" i="4"/>
  <c r="BF18" i="4"/>
  <c r="BL20" i="4"/>
  <c r="BR21" i="4"/>
  <c r="BJ21" i="4"/>
  <c r="BP22" i="4"/>
  <c r="BH22" i="4"/>
  <c r="BQ27" i="4"/>
  <c r="BI27" i="4"/>
  <c r="BP28" i="4"/>
  <c r="BH28" i="4"/>
  <c r="BP30" i="4"/>
  <c r="BH30" i="4"/>
  <c r="BN19" i="4"/>
  <c r="BF19" i="4"/>
  <c r="BM13" i="4"/>
  <c r="BE13" i="4"/>
  <c r="BL29" i="4"/>
  <c r="BE29" i="4"/>
  <c r="BL38" i="4"/>
  <c r="BL8" i="4"/>
  <c r="BR9" i="4"/>
  <c r="BJ9" i="4"/>
  <c r="BE20" i="4"/>
  <c r="BE19" i="4"/>
  <c r="BL18" i="4"/>
  <c r="BF28" i="4"/>
  <c r="BH9" i="4"/>
  <c r="BF17" i="4"/>
  <c r="BG27" i="4"/>
  <c r="BR38" i="4"/>
  <c r="BJ16" i="4"/>
  <c r="BJ13" i="4"/>
  <c r="BQ29" i="4"/>
  <c r="BI29" i="4"/>
  <c r="BQ38" i="4"/>
  <c r="BI38" i="4"/>
  <c r="BQ8" i="4"/>
  <c r="BI8" i="4"/>
  <c r="BO9" i="4"/>
  <c r="BG9" i="4"/>
  <c r="BN17" i="4"/>
  <c r="BP21" i="4"/>
  <c r="BF22" i="4"/>
  <c r="BN30" i="4"/>
  <c r="BK13" i="4"/>
  <c r="BJ38" i="4"/>
  <c r="BP9" i="4"/>
  <c r="BR16" i="4"/>
  <c r="BE21" i="4"/>
  <c r="BK18" i="4"/>
  <c r="BO21" i="4"/>
  <c r="BN27" i="4"/>
  <c r="BM28" i="4"/>
  <c r="BR13" i="4"/>
  <c r="BR14" i="4"/>
  <c r="BJ14" i="4"/>
  <c r="BQ16" i="4"/>
  <c r="BI16" i="4"/>
  <c r="BE17" i="4"/>
  <c r="BL17" i="4"/>
  <c r="BR18" i="4"/>
  <c r="BJ18" i="4"/>
  <c r="BP20" i="4"/>
  <c r="BH20" i="4"/>
  <c r="BN21" i="4"/>
  <c r="BF21" i="4"/>
  <c r="BL22" i="4"/>
  <c r="BE27" i="4"/>
  <c r="BM27" i="4"/>
  <c r="BE28" i="4"/>
  <c r="BL28" i="4"/>
  <c r="BE30" i="4"/>
  <c r="BL30" i="4"/>
  <c r="BR19" i="4"/>
  <c r="BJ19" i="4"/>
  <c r="BQ13" i="4"/>
  <c r="BI13" i="4"/>
  <c r="BP29" i="4"/>
  <c r="BH29" i="4"/>
  <c r="BP38" i="4"/>
  <c r="BH38" i="4"/>
  <c r="BP8" i="4"/>
  <c r="BH8" i="4"/>
  <c r="BN9" i="4"/>
  <c r="BF9" i="4"/>
  <c r="BL14" i="4"/>
  <c r="BK16" i="4"/>
  <c r="BR20" i="4"/>
  <c r="BH21" i="4"/>
  <c r="BO27" i="4"/>
  <c r="BF30" i="4"/>
  <c r="BL19" i="4"/>
  <c r="BR29" i="4"/>
  <c r="BJ8" i="4"/>
  <c r="BI20" i="4"/>
  <c r="BM22" i="4"/>
  <c r="BP13" i="4"/>
  <c r="BH13" i="4"/>
  <c r="BO29" i="4"/>
  <c r="BG29" i="4"/>
  <c r="BO38" i="4"/>
  <c r="BG38" i="4"/>
  <c r="BO8" i="4"/>
  <c r="BG8" i="4"/>
  <c r="BM9" i="4"/>
  <c r="BE14" i="4"/>
  <c r="BE18" i="4"/>
  <c r="BJ20" i="4"/>
  <c r="BN22" i="4"/>
  <c r="BN28" i="4"/>
  <c r="BJ29" i="4"/>
  <c r="BR8" i="4"/>
  <c r="BK14" i="4"/>
  <c r="BM17" i="4"/>
  <c r="BQ20" i="4"/>
  <c r="BG21" i="4"/>
  <c r="BF27" i="4"/>
  <c r="BM30" i="4"/>
  <c r="BK19" i="4"/>
  <c r="BP14" i="4"/>
  <c r="BH14" i="4"/>
  <c r="BO16" i="4"/>
  <c r="BG16" i="4"/>
  <c r="BR17" i="4"/>
  <c r="BJ17" i="4"/>
  <c r="BP18" i="4"/>
  <c r="BH18" i="4"/>
  <c r="BN20" i="4"/>
  <c r="BF20" i="4"/>
  <c r="BL21" i="4"/>
  <c r="BR22" i="4"/>
  <c r="BJ22" i="4"/>
  <c r="BK27" i="4"/>
  <c r="BR28" i="4"/>
  <c r="BJ28" i="4"/>
  <c r="BR30" i="4"/>
  <c r="BJ30" i="4"/>
  <c r="BP19" i="4"/>
  <c r="BH19" i="4"/>
  <c r="BO13" i="4"/>
  <c r="BG13" i="4"/>
  <c r="BN29" i="4"/>
  <c r="BF29" i="4"/>
  <c r="BN38" i="4"/>
  <c r="BF38" i="4"/>
  <c r="BN8" i="4"/>
  <c r="BF8" i="4"/>
  <c r="BL9" i="4"/>
  <c r="BE9" i="4"/>
  <c r="B29" i="4"/>
  <c r="BS7" i="4"/>
  <c r="BR11" i="4"/>
  <c r="BS12" i="4"/>
  <c r="BS51" i="4"/>
  <c r="BS32" i="4"/>
  <c r="BS33" i="4"/>
  <c r="BS34" i="4"/>
  <c r="BS35" i="4"/>
  <c r="BS48" i="4"/>
  <c r="BS49" i="4"/>
  <c r="BS50" i="4"/>
  <c r="BS39" i="4"/>
  <c r="BS40" i="4"/>
  <c r="BS41" i="4"/>
  <c r="BS42" i="4"/>
  <c r="BS45" i="4"/>
  <c r="BS6" i="4"/>
  <c r="AS13" i="4"/>
  <c r="AT13" i="4"/>
  <c r="AU13" i="4"/>
  <c r="AV13" i="4"/>
  <c r="AS14" i="4"/>
  <c r="AT14" i="4"/>
  <c r="AU14" i="4"/>
  <c r="AV14" i="4"/>
  <c r="AS16" i="4"/>
  <c r="AT16" i="4"/>
  <c r="AU16" i="4"/>
  <c r="AS17" i="4"/>
  <c r="AT17" i="4"/>
  <c r="AU17" i="4"/>
  <c r="AS18" i="4"/>
  <c r="AT18" i="4"/>
  <c r="AU18" i="4"/>
  <c r="AS19" i="4"/>
  <c r="AT19" i="4"/>
  <c r="AU19" i="4"/>
  <c r="AS21" i="4"/>
  <c r="AT21" i="4"/>
  <c r="AU21" i="4"/>
  <c r="AS22" i="4"/>
  <c r="AT22" i="4"/>
  <c r="AU22" i="4"/>
  <c r="AS23" i="4"/>
  <c r="AT23" i="4"/>
  <c r="AU23" i="4"/>
  <c r="AS24" i="4"/>
  <c r="AT24" i="4"/>
  <c r="AU24" i="4"/>
  <c r="AS5" i="4"/>
  <c r="AS6" i="4"/>
  <c r="E36" i="7"/>
  <c r="F36" i="7"/>
  <c r="G36" i="7"/>
  <c r="H36" i="7"/>
  <c r="I36" i="7"/>
  <c r="J36" i="7"/>
  <c r="K36" i="7"/>
  <c r="L36" i="7"/>
  <c r="M36" i="7"/>
  <c r="N36" i="7"/>
  <c r="O36" i="7"/>
  <c r="P36" i="7"/>
  <c r="Q36" i="7"/>
  <c r="R36" i="7"/>
  <c r="S36" i="7"/>
  <c r="T36" i="7"/>
  <c r="U36" i="7"/>
  <c r="V36" i="7"/>
  <c r="W36" i="7"/>
  <c r="X36" i="7"/>
  <c r="E35" i="7"/>
  <c r="F16" i="7"/>
  <c r="G16" i="7"/>
  <c r="H16" i="7"/>
  <c r="I16" i="7"/>
  <c r="J16" i="7"/>
  <c r="K16" i="7"/>
  <c r="L16" i="7"/>
  <c r="M16" i="7"/>
  <c r="N16" i="7"/>
  <c r="O16" i="7"/>
  <c r="P16" i="7"/>
  <c r="Q16" i="7"/>
  <c r="R16" i="7"/>
  <c r="S16" i="7"/>
  <c r="T16" i="7"/>
  <c r="U16" i="7"/>
  <c r="V16" i="7"/>
  <c r="W16" i="7"/>
  <c r="X16" i="7"/>
  <c r="E16" i="7"/>
  <c r="F23" i="7"/>
  <c r="G23" i="7"/>
  <c r="H23" i="7"/>
  <c r="I23" i="7"/>
  <c r="J23" i="7"/>
  <c r="K23" i="7"/>
  <c r="L23" i="7"/>
  <c r="M23" i="7"/>
  <c r="N23" i="7"/>
  <c r="O23" i="7"/>
  <c r="P23" i="7"/>
  <c r="Q23" i="7"/>
  <c r="R23" i="7"/>
  <c r="S23" i="7"/>
  <c r="T23" i="7"/>
  <c r="U23" i="7"/>
  <c r="V23" i="7"/>
  <c r="W23" i="7"/>
  <c r="X23" i="7"/>
  <c r="E23" i="7"/>
  <c r="F35" i="7"/>
  <c r="G35" i="7"/>
  <c r="H35" i="7"/>
  <c r="I35" i="7"/>
  <c r="J35" i="7"/>
  <c r="K35" i="7"/>
  <c r="L35" i="7"/>
  <c r="M35" i="7"/>
  <c r="N35" i="7"/>
  <c r="O35" i="7"/>
  <c r="P35" i="7"/>
  <c r="Q35" i="7"/>
  <c r="R35" i="7"/>
  <c r="S35" i="7"/>
  <c r="T35" i="7"/>
  <c r="U35" i="7"/>
  <c r="V35" i="7"/>
  <c r="W35" i="7"/>
  <c r="X35" i="7"/>
  <c r="F34" i="7"/>
  <c r="G34" i="7"/>
  <c r="H34" i="7"/>
  <c r="I34" i="7"/>
  <c r="J34" i="7"/>
  <c r="K34" i="7"/>
  <c r="L34" i="7"/>
  <c r="M34" i="7"/>
  <c r="N34" i="7"/>
  <c r="O34" i="7"/>
  <c r="P34" i="7"/>
  <c r="Q34" i="7"/>
  <c r="R34" i="7"/>
  <c r="S34" i="7"/>
  <c r="T34" i="7"/>
  <c r="U34" i="7"/>
  <c r="V34" i="7"/>
  <c r="W34" i="7"/>
  <c r="X34" i="7"/>
  <c r="E34" i="7"/>
  <c r="F33" i="7"/>
  <c r="G33" i="7"/>
  <c r="H33" i="7"/>
  <c r="I33" i="7"/>
  <c r="J33" i="7"/>
  <c r="K33" i="7"/>
  <c r="L33" i="7"/>
  <c r="M33" i="7"/>
  <c r="N33" i="7"/>
  <c r="O33" i="7"/>
  <c r="P33" i="7"/>
  <c r="Q33" i="7"/>
  <c r="R33" i="7"/>
  <c r="S33" i="7"/>
  <c r="T33" i="7"/>
  <c r="U33" i="7"/>
  <c r="V33" i="7"/>
  <c r="W33" i="7"/>
  <c r="X33" i="7"/>
  <c r="E33" i="7"/>
  <c r="F32" i="7"/>
  <c r="G32" i="7"/>
  <c r="H32" i="7"/>
  <c r="I32" i="7"/>
  <c r="J32" i="7"/>
  <c r="K32" i="7"/>
  <c r="L32" i="7"/>
  <c r="M32" i="7"/>
  <c r="N32" i="7"/>
  <c r="O32" i="7"/>
  <c r="P32" i="7"/>
  <c r="Q32" i="7"/>
  <c r="R32" i="7"/>
  <c r="S32" i="7"/>
  <c r="T32" i="7"/>
  <c r="U32" i="7"/>
  <c r="V32" i="7"/>
  <c r="W32" i="7"/>
  <c r="X32" i="7"/>
  <c r="E32" i="7"/>
  <c r="F30" i="7"/>
  <c r="G30" i="7"/>
  <c r="H30" i="7"/>
  <c r="I30" i="7"/>
  <c r="J30" i="7"/>
  <c r="K30" i="7"/>
  <c r="L30" i="7"/>
  <c r="M30" i="7"/>
  <c r="N30" i="7"/>
  <c r="O30" i="7"/>
  <c r="P30" i="7"/>
  <c r="Q30" i="7"/>
  <c r="R30" i="7"/>
  <c r="S30" i="7"/>
  <c r="T30" i="7"/>
  <c r="U30" i="7"/>
  <c r="V30" i="7"/>
  <c r="W30" i="7"/>
  <c r="X30" i="7"/>
  <c r="E30" i="7"/>
  <c r="F29" i="7"/>
  <c r="G29" i="7"/>
  <c r="H29" i="7"/>
  <c r="I29" i="7"/>
  <c r="J29" i="7"/>
  <c r="K29" i="7"/>
  <c r="L29" i="7"/>
  <c r="M29" i="7"/>
  <c r="N29" i="7"/>
  <c r="O29" i="7"/>
  <c r="P29" i="7"/>
  <c r="Q29" i="7"/>
  <c r="R29" i="7"/>
  <c r="S29" i="7"/>
  <c r="T29" i="7"/>
  <c r="U29" i="7"/>
  <c r="V29" i="7"/>
  <c r="W29" i="7"/>
  <c r="X29" i="7"/>
  <c r="E29" i="7"/>
  <c r="F28" i="7"/>
  <c r="G28" i="7"/>
  <c r="H28" i="7"/>
  <c r="I28" i="7"/>
  <c r="J28" i="7"/>
  <c r="K28" i="7"/>
  <c r="L28" i="7"/>
  <c r="M28" i="7"/>
  <c r="N28" i="7"/>
  <c r="O28" i="7"/>
  <c r="P28" i="7"/>
  <c r="Q28" i="7"/>
  <c r="R28" i="7"/>
  <c r="S28" i="7"/>
  <c r="T28" i="7"/>
  <c r="U28" i="7"/>
  <c r="V28" i="7"/>
  <c r="W28" i="7"/>
  <c r="X28" i="7"/>
  <c r="E28" i="7"/>
  <c r="F26" i="7"/>
  <c r="G26" i="7"/>
  <c r="H26" i="7"/>
  <c r="I26" i="7"/>
  <c r="J26" i="7"/>
  <c r="K26" i="7"/>
  <c r="L26" i="7"/>
  <c r="M26" i="7"/>
  <c r="N26" i="7"/>
  <c r="O26" i="7"/>
  <c r="P26" i="7"/>
  <c r="Q26" i="7"/>
  <c r="R26" i="7"/>
  <c r="S26" i="7"/>
  <c r="T26" i="7"/>
  <c r="U26" i="7"/>
  <c r="V26" i="7"/>
  <c r="W26" i="7"/>
  <c r="X26" i="7"/>
  <c r="E26" i="7"/>
  <c r="F25" i="7"/>
  <c r="G25" i="7"/>
  <c r="H25" i="7"/>
  <c r="I25" i="7"/>
  <c r="J25" i="7"/>
  <c r="K25" i="7"/>
  <c r="L25" i="7"/>
  <c r="M25" i="7"/>
  <c r="N25" i="7"/>
  <c r="O25" i="7"/>
  <c r="P25" i="7"/>
  <c r="Q25" i="7"/>
  <c r="R25" i="7"/>
  <c r="S25" i="7"/>
  <c r="T25" i="7"/>
  <c r="U25" i="7"/>
  <c r="V25" i="7"/>
  <c r="W25" i="7"/>
  <c r="X25" i="7"/>
  <c r="E25" i="7"/>
  <c r="F22" i="7"/>
  <c r="G22" i="7"/>
  <c r="H22" i="7"/>
  <c r="I22" i="7"/>
  <c r="J22" i="7"/>
  <c r="K22" i="7"/>
  <c r="L22" i="7"/>
  <c r="M22" i="7"/>
  <c r="N22" i="7"/>
  <c r="O22" i="7"/>
  <c r="P22" i="7"/>
  <c r="Q22" i="7"/>
  <c r="R22" i="7"/>
  <c r="S22" i="7"/>
  <c r="T22" i="7"/>
  <c r="U22" i="7"/>
  <c r="V22" i="7"/>
  <c r="W22" i="7"/>
  <c r="X22" i="7"/>
  <c r="E22" i="7"/>
  <c r="G21" i="7"/>
  <c r="H21" i="7"/>
  <c r="I21" i="7"/>
  <c r="J21" i="7"/>
  <c r="K21" i="7"/>
  <c r="L21" i="7"/>
  <c r="M21" i="7"/>
  <c r="N21" i="7"/>
  <c r="O21" i="7"/>
  <c r="P21" i="7"/>
  <c r="Q21" i="7"/>
  <c r="R21" i="7"/>
  <c r="S21" i="7"/>
  <c r="T21" i="7"/>
  <c r="U21" i="7"/>
  <c r="V21" i="7"/>
  <c r="W21" i="7"/>
  <c r="X21" i="7"/>
  <c r="F21" i="7"/>
  <c r="E21" i="7"/>
  <c r="F20" i="7"/>
  <c r="G20" i="7"/>
  <c r="H20" i="7"/>
  <c r="I20" i="7"/>
  <c r="J20" i="7"/>
  <c r="K20" i="7"/>
  <c r="L20" i="7"/>
  <c r="M20" i="7"/>
  <c r="N20" i="7"/>
  <c r="O20" i="7"/>
  <c r="P20" i="7"/>
  <c r="Q20" i="7"/>
  <c r="R20" i="7"/>
  <c r="S20" i="7"/>
  <c r="T20" i="7"/>
  <c r="U20" i="7"/>
  <c r="V20" i="7"/>
  <c r="W20" i="7"/>
  <c r="X20" i="7"/>
  <c r="E20" i="7"/>
  <c r="F19" i="7"/>
  <c r="G19" i="7"/>
  <c r="H19" i="7"/>
  <c r="I19" i="7"/>
  <c r="J19" i="7"/>
  <c r="K19" i="7"/>
  <c r="L19" i="7"/>
  <c r="M19" i="7"/>
  <c r="N19" i="7"/>
  <c r="O19" i="7"/>
  <c r="P19" i="7"/>
  <c r="Q19" i="7"/>
  <c r="R19" i="7"/>
  <c r="S19" i="7"/>
  <c r="T19" i="7"/>
  <c r="U19" i="7"/>
  <c r="V19" i="7"/>
  <c r="W19" i="7"/>
  <c r="X19" i="7"/>
  <c r="E19" i="7"/>
  <c r="F18" i="7"/>
  <c r="G18" i="7"/>
  <c r="H18" i="7"/>
  <c r="I18" i="7"/>
  <c r="J18" i="7"/>
  <c r="K18" i="7"/>
  <c r="L18" i="7"/>
  <c r="M18" i="7"/>
  <c r="N18" i="7"/>
  <c r="O18" i="7"/>
  <c r="P18" i="7"/>
  <c r="Q18" i="7"/>
  <c r="R18" i="7"/>
  <c r="S18" i="7"/>
  <c r="T18" i="7"/>
  <c r="U18" i="7"/>
  <c r="V18" i="7"/>
  <c r="W18" i="7"/>
  <c r="X18" i="7"/>
  <c r="E18" i="7"/>
  <c r="E15" i="7"/>
  <c r="F7" i="7"/>
  <c r="G7" i="7"/>
  <c r="H7" i="7"/>
  <c r="I7" i="7"/>
  <c r="J7" i="7"/>
  <c r="K7" i="7"/>
  <c r="L7" i="7"/>
  <c r="M7" i="7"/>
  <c r="N7" i="7"/>
  <c r="O7" i="7"/>
  <c r="P7" i="7"/>
  <c r="Q7" i="7"/>
  <c r="R7" i="7"/>
  <c r="S7" i="7"/>
  <c r="T7" i="7"/>
  <c r="U7" i="7"/>
  <c r="V7" i="7"/>
  <c r="W7" i="7"/>
  <c r="X7" i="7"/>
  <c r="F15" i="7"/>
  <c r="G15" i="7"/>
  <c r="H15" i="7"/>
  <c r="I15" i="7"/>
  <c r="J15" i="7"/>
  <c r="K15" i="7"/>
  <c r="L15" i="7"/>
  <c r="M15" i="7"/>
  <c r="N15" i="7"/>
  <c r="O15" i="7"/>
  <c r="P15" i="7"/>
  <c r="Q15" i="7"/>
  <c r="R15" i="7"/>
  <c r="S15" i="7"/>
  <c r="T15" i="7"/>
  <c r="U15" i="7"/>
  <c r="V15" i="7"/>
  <c r="W15" i="7"/>
  <c r="X15" i="7"/>
  <c r="F14" i="7"/>
  <c r="G14" i="7"/>
  <c r="H14" i="7"/>
  <c r="I14" i="7"/>
  <c r="J14" i="7"/>
  <c r="K14" i="7"/>
  <c r="L14" i="7"/>
  <c r="M14" i="7"/>
  <c r="N14" i="7"/>
  <c r="O14" i="7"/>
  <c r="P14" i="7"/>
  <c r="Q14" i="7"/>
  <c r="R14" i="7"/>
  <c r="S14" i="7"/>
  <c r="T14" i="7"/>
  <c r="U14" i="7"/>
  <c r="V14" i="7"/>
  <c r="W14" i="7"/>
  <c r="X14" i="7"/>
  <c r="E14" i="7"/>
  <c r="F13" i="7"/>
  <c r="G13" i="7"/>
  <c r="H13" i="7"/>
  <c r="I13" i="7"/>
  <c r="J13" i="7"/>
  <c r="K13" i="7"/>
  <c r="L13" i="7"/>
  <c r="M13" i="7"/>
  <c r="N13" i="7"/>
  <c r="O13" i="7"/>
  <c r="P13" i="7"/>
  <c r="Q13" i="7"/>
  <c r="R13" i="7"/>
  <c r="S13" i="7"/>
  <c r="T13" i="7"/>
  <c r="U13" i="7"/>
  <c r="V13" i="7"/>
  <c r="W13" i="7"/>
  <c r="X13" i="7"/>
  <c r="E13" i="7"/>
  <c r="F12" i="7"/>
  <c r="G12" i="7"/>
  <c r="H12" i="7"/>
  <c r="I12" i="7"/>
  <c r="J12" i="7"/>
  <c r="K12" i="7"/>
  <c r="L12" i="7"/>
  <c r="M12" i="7"/>
  <c r="N12" i="7"/>
  <c r="O12" i="7"/>
  <c r="P12" i="7"/>
  <c r="Q12" i="7"/>
  <c r="R12" i="7"/>
  <c r="S12" i="7"/>
  <c r="T12" i="7"/>
  <c r="U12" i="7"/>
  <c r="V12" i="7"/>
  <c r="W12" i="7"/>
  <c r="X12" i="7"/>
  <c r="E12" i="7"/>
  <c r="F11" i="7"/>
  <c r="G11" i="7"/>
  <c r="H11" i="7"/>
  <c r="I11" i="7"/>
  <c r="J11" i="7"/>
  <c r="K11" i="7"/>
  <c r="L11" i="7"/>
  <c r="M11" i="7"/>
  <c r="N11" i="7"/>
  <c r="O11" i="7"/>
  <c r="P11" i="7"/>
  <c r="Q11" i="7"/>
  <c r="R11" i="7"/>
  <c r="S11" i="7"/>
  <c r="T11" i="7"/>
  <c r="U11" i="7"/>
  <c r="V11" i="7"/>
  <c r="W11" i="7"/>
  <c r="X11" i="7"/>
  <c r="E11" i="7"/>
  <c r="F10" i="7"/>
  <c r="G10" i="7"/>
  <c r="H10" i="7"/>
  <c r="I10" i="7"/>
  <c r="J10" i="7"/>
  <c r="K10" i="7"/>
  <c r="L10" i="7"/>
  <c r="M10" i="7"/>
  <c r="N10" i="7"/>
  <c r="O10" i="7"/>
  <c r="P10" i="7"/>
  <c r="Q10" i="7"/>
  <c r="R10" i="7"/>
  <c r="S10" i="7"/>
  <c r="T10" i="7"/>
  <c r="U10" i="7"/>
  <c r="V10" i="7"/>
  <c r="W10" i="7"/>
  <c r="X10" i="7"/>
  <c r="E10" i="7"/>
  <c r="F9" i="7"/>
  <c r="G9" i="7"/>
  <c r="H9" i="7"/>
  <c r="I9" i="7"/>
  <c r="J9" i="7"/>
  <c r="K9" i="7"/>
  <c r="L9" i="7"/>
  <c r="M9" i="7"/>
  <c r="N9" i="7"/>
  <c r="O9" i="7"/>
  <c r="P9" i="7"/>
  <c r="Q9" i="7"/>
  <c r="R9" i="7"/>
  <c r="S9" i="7"/>
  <c r="T9" i="7"/>
  <c r="U9" i="7"/>
  <c r="V9" i="7"/>
  <c r="W9" i="7"/>
  <c r="X9" i="7"/>
  <c r="E9" i="7"/>
  <c r="E7" i="7"/>
  <c r="G8" i="7"/>
  <c r="H8" i="7"/>
  <c r="I8" i="7"/>
  <c r="J8" i="7"/>
  <c r="K8" i="7"/>
  <c r="L8" i="7"/>
  <c r="M8" i="7"/>
  <c r="N8" i="7"/>
  <c r="O8" i="7"/>
  <c r="P8" i="7"/>
  <c r="Q8" i="7"/>
  <c r="R8" i="7"/>
  <c r="S8" i="7"/>
  <c r="T8" i="7"/>
  <c r="U8" i="7"/>
  <c r="V8" i="7"/>
  <c r="W8" i="7"/>
  <c r="X8" i="7"/>
  <c r="F8" i="7"/>
  <c r="E8" i="7"/>
  <c r="E6" i="7"/>
  <c r="X6" i="7"/>
  <c r="F6" i="7"/>
  <c r="G6" i="7"/>
  <c r="H6" i="7"/>
  <c r="I6" i="7"/>
  <c r="J6" i="7"/>
  <c r="K6" i="7"/>
  <c r="L6" i="7"/>
  <c r="M6" i="7"/>
  <c r="N6" i="7"/>
  <c r="O6" i="7"/>
  <c r="P6" i="7"/>
  <c r="Q6" i="7"/>
  <c r="R6" i="7"/>
  <c r="S6" i="7"/>
  <c r="T6" i="7"/>
  <c r="U6" i="7"/>
  <c r="V6" i="7"/>
  <c r="W6" i="7"/>
  <c r="X4" i="7"/>
  <c r="W4" i="7"/>
  <c r="U4" i="7"/>
  <c r="V4" i="7"/>
  <c r="F4" i="7"/>
  <c r="G4" i="7"/>
  <c r="H4" i="7"/>
  <c r="I4" i="7"/>
  <c r="J4" i="7"/>
  <c r="K4" i="7"/>
  <c r="L4" i="7"/>
  <c r="M4" i="7"/>
  <c r="N4" i="7"/>
  <c r="O4" i="7"/>
  <c r="P4" i="7"/>
  <c r="Q4" i="7"/>
  <c r="R4" i="7"/>
  <c r="S4" i="7"/>
  <c r="T4" i="7"/>
  <c r="E4" i="7"/>
  <c r="AS7" i="4"/>
  <c r="AS8" i="4"/>
  <c r="AS9" i="4"/>
  <c r="AS10" i="4"/>
  <c r="B11" i="4"/>
  <c r="B10" i="4"/>
  <c r="B12" i="4"/>
  <c r="B13" i="4"/>
  <c r="B14" i="4"/>
  <c r="B15" i="4"/>
  <c r="B16" i="4"/>
  <c r="B17" i="4"/>
  <c r="B18" i="4"/>
  <c r="B19" i="4"/>
  <c r="B21" i="4"/>
  <c r="B22" i="4"/>
  <c r="B23" i="4"/>
  <c r="F42" i="4" s="1"/>
  <c r="B24" i="4"/>
  <c r="B25" i="4"/>
  <c r="B26" i="4"/>
  <c r="F45" i="4" s="1"/>
  <c r="B30" i="4"/>
  <c r="B31" i="4"/>
  <c r="B32" i="4"/>
  <c r="B33" i="4"/>
  <c r="B34" i="4"/>
  <c r="B27" i="4"/>
  <c r="B9" i="4"/>
  <c r="E2" i="7" l="1"/>
  <c r="X27" i="4"/>
  <c r="X30" i="4"/>
  <c r="X22" i="4"/>
  <c r="X19" i="4"/>
  <c r="X14" i="4"/>
  <c r="X18" i="4"/>
  <c r="X17" i="4"/>
  <c r="X29" i="4"/>
  <c r="X21" i="4"/>
  <c r="X38" i="4"/>
  <c r="X13" i="4"/>
  <c r="X28" i="4"/>
  <c r="X20" i="4"/>
  <c r="X9" i="4"/>
  <c r="X16" i="4"/>
  <c r="BE6" i="4"/>
  <c r="BE46" i="4"/>
  <c r="X46" i="4" s="1"/>
  <c r="BR46" i="4"/>
  <c r="BM6" i="4"/>
  <c r="BJ6" i="4"/>
  <c r="BG50" i="4"/>
  <c r="BM49" i="4"/>
  <c r="BK48" i="4"/>
  <c r="BQ35" i="4"/>
  <c r="BI35" i="4"/>
  <c r="BO34" i="4"/>
  <c r="BG34" i="4"/>
  <c r="BM33" i="4"/>
  <c r="BK40" i="4"/>
  <c r="BQ39" i="4"/>
  <c r="BO50" i="4"/>
  <c r="BQ45" i="4"/>
  <c r="BI39" i="4"/>
  <c r="BI45" i="4"/>
  <c r="BO42" i="4"/>
  <c r="BH6" i="4"/>
  <c r="BP6" i="4"/>
  <c r="BM41" i="4"/>
  <c r="BQ7" i="4"/>
  <c r="BI7" i="4"/>
  <c r="BG42" i="4"/>
  <c r="BG6" i="4"/>
  <c r="BO6" i="4"/>
  <c r="BR45" i="4"/>
  <c r="BJ45" i="4"/>
  <c r="BP42" i="4"/>
  <c r="BH42" i="4"/>
  <c r="BN41" i="4"/>
  <c r="BF41" i="4"/>
  <c r="BL40" i="4"/>
  <c r="BR39" i="4"/>
  <c r="BJ39" i="4"/>
  <c r="BP50" i="4"/>
  <c r="BH50" i="4"/>
  <c r="BN49" i="4"/>
  <c r="BF49" i="4"/>
  <c r="BL48" i="4"/>
  <c r="BR35" i="4"/>
  <c r="BJ35" i="4"/>
  <c r="BP34" i="4"/>
  <c r="BH34" i="4"/>
  <c r="BN33" i="4"/>
  <c r="BF33" i="4"/>
  <c r="BL32" i="4"/>
  <c r="BP51" i="4"/>
  <c r="BH51" i="4"/>
  <c r="BN12" i="4"/>
  <c r="BF12" i="4"/>
  <c r="BK11" i="4"/>
  <c r="BO7" i="4"/>
  <c r="BG7" i="4"/>
  <c r="BK32" i="4"/>
  <c r="BO51" i="4"/>
  <c r="BG51" i="4"/>
  <c r="BM12" i="4"/>
  <c r="BJ11" i="4"/>
  <c r="BN7" i="4"/>
  <c r="BF7" i="4"/>
  <c r="BE40" i="4"/>
  <c r="BE32" i="4"/>
  <c r="BF42" i="4"/>
  <c r="BH39" i="4"/>
  <c r="BL49" i="4"/>
  <c r="BE11" i="4"/>
  <c r="BG39" i="4"/>
  <c r="BI48" i="4"/>
  <c r="BQ32" i="4"/>
  <c r="BL42" i="4"/>
  <c r="BE42" i="4"/>
  <c r="BE33" i="4"/>
  <c r="BR26" i="4"/>
  <c r="BJ26" i="4"/>
  <c r="BQ10" i="4"/>
  <c r="BI10" i="4"/>
  <c r="BL6" i="4"/>
  <c r="BE12" i="4"/>
  <c r="BE45" i="4"/>
  <c r="BQ26" i="4"/>
  <c r="BI26" i="4"/>
  <c r="BP10" i="4"/>
  <c r="BH10" i="4"/>
  <c r="BE39" i="4"/>
  <c r="BL41" i="4"/>
  <c r="BP35" i="4"/>
  <c r="BF34" i="4"/>
  <c r="BL33" i="4"/>
  <c r="BR32" i="4"/>
  <c r="BJ32" i="4"/>
  <c r="BP26" i="4"/>
  <c r="BH26" i="4"/>
  <c r="BN51" i="4"/>
  <c r="BF51" i="4"/>
  <c r="BL12" i="4"/>
  <c r="BQ11" i="4"/>
  <c r="BI11" i="4"/>
  <c r="BO10" i="4"/>
  <c r="BG10" i="4"/>
  <c r="BM7" i="4"/>
  <c r="BF6" i="4"/>
  <c r="BN6" i="4"/>
  <c r="BE41" i="4"/>
  <c r="BE51" i="4"/>
  <c r="BF50" i="4"/>
  <c r="BK41" i="4"/>
  <c r="BG35" i="4"/>
  <c r="BI32" i="4"/>
  <c r="BO26" i="4"/>
  <c r="BG26" i="4"/>
  <c r="BM51" i="4"/>
  <c r="BK12" i="4"/>
  <c r="BP11" i="4"/>
  <c r="BH11" i="4"/>
  <c r="BN10" i="4"/>
  <c r="BF10" i="4"/>
  <c r="BL7" i="4"/>
  <c r="BR40" i="4"/>
  <c r="BJ48" i="4"/>
  <c r="BI40" i="4"/>
  <c r="BE49" i="4"/>
  <c r="BH40" i="4"/>
  <c r="BN35" i="4"/>
  <c r="BJ33" i="4"/>
  <c r="BP32" i="4"/>
  <c r="BH32" i="4"/>
  <c r="BN26" i="4"/>
  <c r="BF26" i="4"/>
  <c r="BL51" i="4"/>
  <c r="BR12" i="4"/>
  <c r="BJ12" i="4"/>
  <c r="BO11" i="4"/>
  <c r="BG11" i="4"/>
  <c r="BM10" i="4"/>
  <c r="BK7" i="4"/>
  <c r="BH45" i="4"/>
  <c r="BP39" i="4"/>
  <c r="BN34" i="4"/>
  <c r="BO45" i="4"/>
  <c r="BQ40" i="4"/>
  <c r="BO35" i="4"/>
  <c r="BM34" i="4"/>
  <c r="BN45" i="4"/>
  <c r="BJ41" i="4"/>
  <c r="BL50" i="4"/>
  <c r="BP48" i="4"/>
  <c r="BF35" i="4"/>
  <c r="BE48" i="4"/>
  <c r="BE8" i="4"/>
  <c r="X8" i="4" s="1"/>
  <c r="BM45" i="4"/>
  <c r="BK42" i="4"/>
  <c r="BQ41" i="4"/>
  <c r="BI41" i="4"/>
  <c r="BO40" i="4"/>
  <c r="BG40" i="4"/>
  <c r="BM39" i="4"/>
  <c r="BK50" i="4"/>
  <c r="BQ49" i="4"/>
  <c r="BI49" i="4"/>
  <c r="BO48" i="4"/>
  <c r="BG48" i="4"/>
  <c r="BM35" i="4"/>
  <c r="BK34" i="4"/>
  <c r="BQ33" i="4"/>
  <c r="BI33" i="4"/>
  <c r="BO32" i="4"/>
  <c r="BG32" i="4"/>
  <c r="BM26" i="4"/>
  <c r="BK51" i="4"/>
  <c r="BQ12" i="4"/>
  <c r="BI12" i="4"/>
  <c r="BN11" i="4"/>
  <c r="BF11" i="4"/>
  <c r="BL10" i="4"/>
  <c r="BR7" i="4"/>
  <c r="BJ7" i="4"/>
  <c r="BI6" i="4"/>
  <c r="BQ6" i="4"/>
  <c r="BP45" i="4"/>
  <c r="BJ40" i="4"/>
  <c r="BH35" i="4"/>
  <c r="BM42" i="4"/>
  <c r="BO39" i="4"/>
  <c r="BK49" i="4"/>
  <c r="BF45" i="4"/>
  <c r="BP40" i="4"/>
  <c r="BF39" i="4"/>
  <c r="BJ49" i="4"/>
  <c r="BR33" i="4"/>
  <c r="BE35" i="4"/>
  <c r="BE7" i="4"/>
  <c r="BL45" i="4"/>
  <c r="BR42" i="4"/>
  <c r="BJ42" i="4"/>
  <c r="BP41" i="4"/>
  <c r="BH41" i="4"/>
  <c r="BN40" i="4"/>
  <c r="BF40" i="4"/>
  <c r="BL39" i="4"/>
  <c r="BR50" i="4"/>
  <c r="BJ50" i="4"/>
  <c r="BP49" i="4"/>
  <c r="BH49" i="4"/>
  <c r="BN48" i="4"/>
  <c r="BF48" i="4"/>
  <c r="BL35" i="4"/>
  <c r="BR34" i="4"/>
  <c r="BJ34" i="4"/>
  <c r="BP33" i="4"/>
  <c r="BH33" i="4"/>
  <c r="BN32" i="4"/>
  <c r="BF32" i="4"/>
  <c r="BL26" i="4"/>
  <c r="BR51" i="4"/>
  <c r="BJ51" i="4"/>
  <c r="BP12" i="4"/>
  <c r="BH12" i="4"/>
  <c r="BM11" i="4"/>
  <c r="BS43" i="4"/>
  <c r="BS10" i="4"/>
  <c r="BK10" i="4"/>
  <c r="BR6" i="4"/>
  <c r="BN42" i="4"/>
  <c r="BN50" i="4"/>
  <c r="BR48" i="4"/>
  <c r="BE50" i="4"/>
  <c r="BG45" i="4"/>
  <c r="BM50" i="4"/>
  <c r="BQ48" i="4"/>
  <c r="BK33" i="4"/>
  <c r="BE10" i="4"/>
  <c r="BR41" i="4"/>
  <c r="BN39" i="4"/>
  <c r="BR49" i="4"/>
  <c r="BH48" i="4"/>
  <c r="BL34" i="4"/>
  <c r="BE34" i="4"/>
  <c r="BK45" i="4"/>
  <c r="BQ42" i="4"/>
  <c r="BI42" i="4"/>
  <c r="BO41" i="4"/>
  <c r="BG41" i="4"/>
  <c r="BM40" i="4"/>
  <c r="BK39" i="4"/>
  <c r="BQ50" i="4"/>
  <c r="BI50" i="4"/>
  <c r="BO49" i="4"/>
  <c r="BG49" i="4"/>
  <c r="BM48" i="4"/>
  <c r="BK35" i="4"/>
  <c r="BQ34" i="4"/>
  <c r="BI34" i="4"/>
  <c r="BO33" i="4"/>
  <c r="BG33" i="4"/>
  <c r="BM32" i="4"/>
  <c r="BS44" i="4"/>
  <c r="BS26" i="4"/>
  <c r="BK26" i="4"/>
  <c r="BQ51" i="4"/>
  <c r="BI51" i="4"/>
  <c r="BO12" i="4"/>
  <c r="BG12" i="4"/>
  <c r="BL11" i="4"/>
  <c r="BR10" i="4"/>
  <c r="BJ10" i="4"/>
  <c r="BP7" i="4"/>
  <c r="BH7" i="4"/>
  <c r="BK6" i="4"/>
  <c r="X6" i="4" l="1"/>
  <c r="X26" i="4"/>
  <c r="X33" i="4"/>
  <c r="X51" i="4"/>
  <c r="X10" i="4"/>
  <c r="X7" i="4"/>
  <c r="X50" i="4"/>
  <c r="X11" i="4"/>
  <c r="X49" i="4"/>
  <c r="X45" i="4"/>
  <c r="X12" i="4"/>
  <c r="X40" i="4"/>
  <c r="X41" i="4"/>
  <c r="X42" i="4"/>
  <c r="X35" i="4"/>
  <c r="X32" i="4"/>
  <c r="X34" i="4"/>
  <c r="X48" i="4"/>
  <c r="X39" i="4"/>
  <c r="BG43" i="4"/>
  <c r="BO44" i="4"/>
  <c r="BQ44" i="4"/>
  <c r="BL44" i="4"/>
  <c r="BG44" i="4"/>
  <c r="BF44" i="4"/>
  <c r="BR43" i="4"/>
  <c r="BM43" i="4"/>
  <c r="BJ43" i="4"/>
  <c r="BN44" i="4"/>
  <c r="BO43" i="4"/>
  <c r="BI44" i="4"/>
  <c r="BI43" i="4"/>
  <c r="BK44" i="4"/>
  <c r="BP44" i="4"/>
  <c r="BH44" i="4"/>
  <c r="BK43" i="4"/>
  <c r="BE43" i="4"/>
  <c r="BP43" i="4"/>
  <c r="BR44" i="4"/>
  <c r="BN43" i="4"/>
  <c r="BQ43" i="4"/>
  <c r="BE44" i="4"/>
  <c r="BM44" i="4"/>
  <c r="BH43" i="4"/>
  <c r="BJ44" i="4"/>
  <c r="BF43" i="4"/>
  <c r="BL43" i="4"/>
  <c r="X44" i="4" l="1"/>
  <c r="X43"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8375AF3-1A89-3F45-96D4-CA7D5183FD9A}" name="Connection" type="4" refreshedVersion="0" background="1">
    <webPr url="https://www.roic.ai/quote/cmco/financials" htmlTables="1" htmlFormat="all"/>
  </connection>
  <connection id="2" xr16:uid="{3BB0233B-3DCD-0142-9317-BD3E315A8D40}" name="Connection1" type="4" refreshedVersion="0" background="1">
    <webPr url="https://www.roic.ai/quote/aapl/financials" htmlTables="1" htmlFormat="all"/>
  </connection>
  <connection id="3" xr16:uid="{13F8AAFC-AF7C-6D4B-8947-B129E56EBA6D}" name="Connection10" type="4" refreshedVersion="0" background="1">
    <webPr url="https://stockanalysis.com/stocks/cmco/financials/ratios/?p=quarterly" htmlTables="1" htmlFormat="all"/>
  </connection>
  <connection id="4" xr16:uid="{788D84C5-0A51-7247-8716-59A71EE67C4C}" name="Connection11" type="4" refreshedVersion="0" background="1">
    <webPr url="https://stockanalysis.com/stocks/nxe/forecast/" htmlTables="1" htmlFormat="all"/>
  </connection>
  <connection id="5" xr16:uid="{7F851D13-DA20-434C-88D9-16620B6084A7}" name="Connection12" type="4" refreshedVersion="0" background="1">
    <webPr url="https://stockanalysis.com/stocks/msf/financials/?p=quarterly" htmlTables="1" htmlFormat="all"/>
  </connection>
  <connection id="6" xr16:uid="{3CC47638-8A25-2049-BBC4-6D268E079DC1}" name="Connection13" type="4" refreshedVersion="0" background="1">
    <webPr url="https://stockanalysis.com/stocks/dlt/financials/?p=quarterly" htmlTables="1" htmlFormat="all"/>
  </connection>
  <connection id="7" xr16:uid="{96D9E6F7-54B2-5445-952F-BCB54AC660D3}" name="Connection14" type="4" refreshedVersion="8">
    <webPr xl2000="1" url="https://stockanalysis.com/stocks/cmco/financials/?p=quarterly" htmlTables="1" htmlFormat="all"/>
  </connection>
  <connection id="8" xr16:uid="{38764AB1-4722-3344-8565-57CEEB554327}" name="Connection15" type="4" refreshedVersion="8">
    <webPr xl2000="1" url="https://stockanalysis.com/stocks/cmco/financials/balance-sheet/?p=quarterly" htmlTables="1" htmlFormat="all"/>
  </connection>
  <connection id="9" xr16:uid="{D6C90A27-3A52-F246-A120-051238EB53FD}" name="Connection16" type="4" refreshedVersion="8">
    <webPr xl2000="1" url="https://stockanalysis.com/stocks/cmco/financials/cash-flow-statement/?p=quarterly" htmlTables="1" htmlFormat="all"/>
  </connection>
  <connection id="10" xr16:uid="{1615E79A-3926-204A-BC74-B2F85AD28151}" name="Connection17" type="4" refreshedVersion="0" background="1">
    <webPr url="https://stockanalysis.com/stocks/abv/financials/" htmlTables="1" htmlFormat="all"/>
  </connection>
  <connection id="11" xr16:uid="{093526E1-B794-E845-AC0F-9FD3F798F86A}" name="Connection18" type="4" refreshedVersion="0" background="1">
    <webPr url="https://stockanalysis.com/stocks/nxdt/financials/?p=trailing" htmlTables="1" htmlFormat="all"/>
  </connection>
  <connection id="12" xr16:uid="{9DDEA77D-8FE0-6F42-ACE4-85635003C90A}" name="Connection19" type="4" refreshedVersion="0" background="1">
    <webPr url="https://stockanalysis.com/stocks/abx/financials/?p=trailing" htmlTables="1" htmlFormat="all"/>
  </connection>
  <connection id="13" xr16:uid="{AA65133A-1D6D-5340-8491-88C47A50554F}" name="Connection2" type="4" refreshedVersion="0" background="1">
    <webPr url="https://stockanalysis.com/stocks/sot/financials/?p=trailing" htmlTables="1" htmlFormat="all"/>
  </connection>
  <connection id="14" xr16:uid="{95B64FD8-BE58-4842-9577-5F827BBCEEDA}" name="Connection20" type="4" refreshedVersion="8">
    <webPr xl2000="1" url="https://discountingcashflows.com/company/mstr/cash-flow-statement/" htmlTables="1" htmlFormat="all"/>
  </connection>
  <connection id="15" xr16:uid="{536D3519-CEEA-5D4F-9152-23806421E91F}" name="Connection21" type="4" refreshedVersion="8">
    <webPr xl2000="1" url="https://discountingcashflows.com/company/mstr/ratios/" htmlTables="1" htmlFormat="all"/>
  </connection>
  <connection id="16" xr16:uid="{2DC345D0-80D3-CC4E-ACDC-7DF80E170396}" name="Connection22" type="4" refreshedVersion="0" background="1">
    <webPr url="https://stockanalysis.com/stocks/gill/financials/?p=trailing" htmlTables="1" htmlFormat="all"/>
  </connection>
  <connection id="17" xr16:uid="{2B376E0F-D740-9D4A-A30C-D187B8B81F71}" name="Connection23" type="4" refreshedVersion="0" background="1">
    <webPr url="https://stockanalysis.com/stocks/glll/financials/?p=trailing" htmlTables="1" htmlFormat="all"/>
  </connection>
  <connection id="18" xr16:uid="{6C290CAF-B675-D348-8FDC-313740DFA29B}" name="Connection24" type="4" refreshedVersion="0" background="1">
    <webPr url="https://stockanalysis.com/stocks/cbat/forecast/" htmlTables="1" htmlFormat="all"/>
  </connection>
  <connection id="19" xr16:uid="{E5B99A68-5454-B841-B0B1-E4A9C9E0E4A7}" name="Connection25" type="4" refreshedVersion="0" background="1">
    <webPr url="https://stockanalysis.com/stocks/acgo/financials/?p=trailing" htmlTables="1" htmlFormat="all"/>
  </connection>
  <connection id="20" xr16:uid="{284063FA-BD17-3448-8762-AEEE66A9E7E3}" name="Connection26" type="4" refreshedVersion="0" background="1">
    <webPr url="https://stockanalysis.com/stocks/cmbt/forecast/" htmlTables="1" htmlFormat="all"/>
  </connection>
  <connection id="21" xr16:uid="{84D0CFAA-2AA1-0645-B815-6293B91F6F4E}" name="Connection27" type="4" refreshedVersion="0" background="1">
    <webPr url="https://stockanalysis.com/stocks/mind/forecast/" htmlTables="1" htmlFormat="all"/>
  </connection>
  <connection id="22" xr16:uid="{7D02074B-4F33-DC45-8B10-E2F06BCE5221}" name="Connection28" type="4" refreshedVersion="0" background="1">
    <webPr url="https://stockanalysis.com/stocks/acgo/financials/?p=trailing" htmlTables="1" htmlFormat="all"/>
  </connection>
  <connection id="23" xr16:uid="{939653A3-5D1E-274F-A83D-58C9303DCCDA}" name="Connection29" type="4" refreshedVersion="0" background="1">
    <webPr url="https://stockanalysis.com/stocks/lgcl/forecast/" htmlTables="1" htmlFormat="all"/>
  </connection>
  <connection id="24" xr16:uid="{115D76CC-5028-5C4D-A303-4E2A6E329406}" name="Connection3" type="4" refreshedVersion="0" background="1">
    <webPr url="https://stockanalysis.com/stocks/cmco/financials/balance-sheet/?p=quarterly" htmlTables="1" htmlFormat="all"/>
  </connection>
  <connection id="25" xr16:uid="{210157D5-C206-8042-B57C-FEA59D2F51AC}" name="Connection30" type="4" refreshedVersion="0" background="1">
    <webPr url="https://stockanalysis.com/stocks/bwlp/forecast/" htmlTables="1" htmlFormat="all"/>
  </connection>
  <connection id="26" xr16:uid="{CBD3AB32-7372-1B4B-8193-CA6F17FE4106}" name="Connection31" type="4" refreshedVersion="0" background="1">
    <webPr url="https://stockanalysis.com/stocks/lgcl/forecast/" htmlTables="1" htmlFormat="all"/>
  </connection>
  <connection id="27" xr16:uid="{DB8C2D80-F32F-8446-916E-3DF6A40A5870}" name="Connection32" type="4" refreshedVersion="0" background="1">
    <webPr url="https://stockanalysis.com/stocks/lgcl/forecast/" htmlTables="1" htmlFormat="all"/>
  </connection>
  <connection id="28" xr16:uid="{AFA1C75E-D202-9C4A-B6E4-BDE519651850}" name="Connection33" type="4" refreshedVersion="0" background="1">
    <webPr url="https://stockanalysis.com/stocks/pkoh/forecast/" htmlTables="1" htmlFormat="all"/>
  </connection>
  <connection id="29" xr16:uid="{72F03F44-D142-3C49-89FF-4B11B664460B}" name="Connection34" type="4" refreshedVersion="0" background="1">
    <webPr url="https://stockanalysis.com/stocks/ndva/financials/?p=trailing" htmlTables="1" htmlFormat="all"/>
  </connection>
  <connection id="30" xr16:uid="{A5E207A9-8EB3-5545-8161-31B7D1C61A3D}" name="Connection35" type="4" refreshedVersion="0" background="1">
    <webPr url="https://stockanalysis.com/stocks/merk/financials/?p=trailing" htmlTables="1" htmlFormat="all"/>
  </connection>
  <connection id="31" xr16:uid="{7CCA835A-D283-D14A-8F63-9DBB50BD9DE5}" name="Connection36" type="4" refreshedVersion="0" background="1">
    <webPr url="https://stockanalysis.com/stocks/jcse/forecast/" htmlTables="1" htmlFormat="all"/>
  </connection>
  <connection id="32" xr16:uid="{66710CF2-06B2-3941-BE2D-73DF427D8904}" name="Connection37" type="4" refreshedVersion="0" background="1">
    <webPr url="https://stockanalysis.com/stocks/tayd/forecast/" htmlTables="1" htmlFormat="all"/>
  </connection>
  <connection id="33" xr16:uid="{DB5FC0B7-97BA-5046-8E46-D79369B33A3C}" name="Connection38" type="4" refreshedVersion="0" background="1">
    <webPr url="https://stockanalysis.com/stocks/qnbc/forecast/" htmlTables="1" htmlFormat="all"/>
  </connection>
  <connection id="34" xr16:uid="{6B97DE97-0DEC-E541-A486-4D1392542997}" name="Connection39" type="4" refreshedVersion="0" background="1">
    <webPr url="https://stockanalysis.com/stocks/abb/forecast/" htmlTables="1" htmlFormat="all"/>
  </connection>
  <connection id="35" xr16:uid="{F5F5C4FD-6EB8-6A43-B7A8-7C0A4F0D33E7}" name="Connection4" type="4" refreshedVersion="0" background="1">
    <webPr url="https://stockanalysis.com/stocks/citi/financials/?p=trailing" htmlTables="1" htmlFormat="all"/>
  </connection>
  <connection id="36" xr16:uid="{4A864624-AEFC-CF4E-9280-878E2936BB27}" name="Connection40" type="4" refreshedVersion="0" background="1">
    <webPr url="https://stockanalysis.com/stocks/bgry/forecast/" htmlTables="1" htmlFormat="all"/>
  </connection>
  <connection id="37" xr16:uid="{1117DC35-8415-024D-9CBE-4875E9AEC9C2}" name="Connection41" type="4" refreshedVersion="8">
    <webPr xl2000="1" url="https://stockanalysis.com/stocks/cmco/financials/ratios/?p=quarterly" htmlTables="1" htmlFormat="all"/>
  </connection>
  <connection id="38" xr16:uid="{2CB4A65A-08FE-E646-AB9E-4B52D374BDED}" name="Connection42" type="4" refreshedVersion="0" background="1">
    <webPr url="https://stockanalysis.com/stocks/pdyn/forecast/" htmlTables="1" htmlFormat="all"/>
  </connection>
  <connection id="39" xr16:uid="{08A1123C-D650-D340-BB25-AAF366FB62C8}" name="Connection43" type="4" refreshedVersion="0" background="1">
    <webPr url="https://stockanalysis.com/stocks/mind/forecast/" htmlTables="1" htmlFormat="all"/>
  </connection>
  <connection id="40" xr16:uid="{5FAC0AFC-1835-CC4A-B454-20898F940A9B}" name="Connection44" type="4" refreshedVersion="0" background="1">
    <webPr url="https://stockanalysis.com/stocks/abb/forecast/" htmlTables="1" htmlFormat="all"/>
  </connection>
  <connection id="41" xr16:uid="{10D77FC6-14AC-B741-9637-79ED1EEEF508}" name="Connection45" type="4" refreshedVersion="0" background="1">
    <webPr url="https://stockanalysis.com/stocks/fer/forecast/" htmlTables="1" htmlFormat="all"/>
  </connection>
  <connection id="42" xr16:uid="{4EAB3FAA-B62C-444E-8F2E-47F19C25E847}" name="Connection46" type="4" refreshedVersion="0" background="1">
    <webPr url="https://stockanalysis.com/stocks/sfwl/forecast/" htmlTables="1" htmlFormat="all"/>
  </connection>
  <connection id="43" xr16:uid="{871A26ED-E477-5A4B-A588-C39B29952BF9}" name="Connection47" type="4" refreshedVersion="0" background="1">
    <webPr url="https://stockanalysis.com/stocks/vow/financials/?p=trailing" htmlTables="1" htmlFormat="all"/>
  </connection>
  <connection id="44" xr16:uid="{C25EA9A0-06D7-E548-B981-399964021436}" name="Connection48" type="4" refreshedVersion="8">
    <webPr xl2000="1" url="https://stockanalysis.com/stocks/mstr/financials/?p=trailing" htmlTables="1" htmlFormat="all"/>
  </connection>
  <connection id="45" xr16:uid="{091B6D97-E91B-C645-ABB9-43491E411605}" name="Connection49" type="4" refreshedVersion="0" background="1">
    <webPr url="https://stockanalysis.com/stocks/pbi/forecast/" htmlTables="1" htmlFormat="all"/>
  </connection>
  <connection id="46" xr16:uid="{A2D4522F-1409-4045-A9D3-C36C47D624A2}" name="Connection5" type="4" refreshedVersion="0" background="1">
    <webPr url="https://stockanalysis.com/stocks/iau/financials/?p=trailing" htmlTables="1" htmlFormat="all"/>
  </connection>
  <connection id="47" xr16:uid="{9A8993F6-46D2-9544-B392-B26B08DBB22A}" name="Connection50" type="4" refreshedVersion="0" background="1">
    <webPr url="https://stockanalysis.com/stocks/jva/forecast/" htmlTables="1" htmlFormat="all"/>
  </connection>
  <connection id="48" xr16:uid="{AE222FCC-056B-704B-82B4-FF7E886F92C7}" name="Connection51" type="4" refreshedVersion="0" background="1">
    <webPr url="https://stockanalysis.com/stocks/lgcl/forecast/" htmlTables="1" htmlFormat="all"/>
  </connection>
  <connection id="49" xr16:uid="{A83188AB-2FB0-1F48-AAEB-B527F2137A9C}" name="Connection52" type="4" refreshedVersion="0" background="1">
    <webPr url="https://stockanalysis.com/stocks/htcr/forecast/" htmlTables="1" htmlFormat="all"/>
  </connection>
  <connection id="50" xr16:uid="{F783F8F7-EF44-944C-B102-7A4747789412}" name="Connection53" type="4" refreshedVersion="0" background="1">
    <webPr url="https://stockanalysis.com/stocks/qh/forecast/" htmlTables="1" htmlFormat="all"/>
  </connection>
  <connection id="51" xr16:uid="{028177BC-CCBD-BF4F-AB08-99B67DE733A9}" name="Connection54" type="4" refreshedVersion="8">
    <webPr xl2000="1" url="https://stockanalysis.com/stocks/mstr/financials/balance-sheet/?p=trailing" htmlTables="1" htmlFormat="all"/>
  </connection>
  <connection id="52" xr16:uid="{B545DE46-BB50-4741-BA7D-F7468F8967DC}" name="Connection55" type="4" refreshedVersion="8">
    <webPr xl2000="1" url="https://stockanalysis.com/stocks/mstr/financials/cash-flow-statement/?p=trailing" htmlTables="1" htmlFormat="all"/>
  </connection>
  <connection id="53" xr16:uid="{F34BA7AD-F676-A544-A905-FEE49DF730CD}" name="Connection56" type="4" refreshedVersion="8">
    <webPr xl2000="1" url="https://stockanalysis.com/stocks/mstr/financials/ratios/?p=trailing" htmlTables="1" htmlFormat="all"/>
  </connection>
  <connection id="54" xr16:uid="{66601B95-F25F-F04E-B99F-CF4287F985BC}" name="Connection57" type="4" refreshedVersion="0" background="1">
    <webPr url="https://stockanalysis.com/stocks/tk/forecast/" htmlTables="1" htmlFormat="all"/>
  </connection>
  <connection id="55" xr16:uid="{53C6FB69-93D5-D249-9F3A-A86A61D558A9}" name="Connection58" type="4" refreshedVersion="8">
    <webPr xl2000="1" url="https://stockanalysis.com/stocks/mstr/forecast/" htmlTables="1" htmlFormat="all"/>
  </connection>
  <connection id="56" xr16:uid="{C97E69FE-9E6E-0A4A-B350-0C6935421D6A}" name="Connection6" type="4" refreshedVersion="0" background="1">
    <webPr url="https://stockanalysis.com/stocks/bull/financials/?p=trailing" htmlTables="1" htmlFormat="all"/>
  </connection>
  <connection id="57" xr16:uid="{9245C901-0D3C-3E4C-9F18-1BA7F8E855C7}" name="Connection7" type="4" refreshedVersion="8">
    <webPr xl2000="1" url="https://discountingcashflows.com/company/mstr/income-statement/" htmlTables="1" htmlFormat="all"/>
  </connection>
  <connection id="58" xr16:uid="{B59BFB0D-2F3B-D241-95EF-445C3F956085}" name="Connection8" type="4" refreshedVersion="8">
    <webPr xl2000="1" url="https://discountingcashflows.com/company/mstr/balance-sheet-statement/" htmlTables="1" htmlFormat="all"/>
  </connection>
  <connection id="59" xr16:uid="{D10D32FD-88B2-CF44-BE2E-5608207A0043}" name="Connection9" type="4" refreshedVersion="8">
    <webPr xl2000="1" url="https://stockanalysis.com/stocks/mstr/statistics/"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3">
    <bk>
      <extLst>
        <ext uri="{3e2802c4-a4d2-4d8b-9148-e3be6c30e623}">
          <xlrd:rvb i="2"/>
        </ext>
      </extLst>
    </bk>
    <bk>
      <extLst>
        <ext uri="{3e2802c4-a4d2-4d8b-9148-e3be6c30e623}">
          <xlrd:rvb i="9"/>
        </ext>
      </extLst>
    </bk>
    <bk>
      <extLst>
        <ext uri="{3e2802c4-a4d2-4d8b-9148-e3be6c30e623}">
          <xlrd:rvb i="12"/>
        </ext>
      </extLst>
    </bk>
    <bk>
      <extLst>
        <ext uri="{3e2802c4-a4d2-4d8b-9148-e3be6c30e623}">
          <xlrd:rvb i="15"/>
        </ext>
      </extLst>
    </bk>
    <bk>
      <extLst>
        <ext uri="{3e2802c4-a4d2-4d8b-9148-e3be6c30e623}">
          <xlrd:rvb i="18"/>
        </ext>
      </extLst>
    </bk>
    <bk>
      <extLst>
        <ext uri="{3e2802c4-a4d2-4d8b-9148-e3be6c30e623}">
          <xlrd:rvb i="21"/>
        </ext>
      </extLst>
    </bk>
    <bk>
      <extLst>
        <ext uri="{3e2802c4-a4d2-4d8b-9148-e3be6c30e623}">
          <xlrd:rvb i="24"/>
        </ext>
      </extLst>
    </bk>
    <bk>
      <extLst>
        <ext uri="{3e2802c4-a4d2-4d8b-9148-e3be6c30e623}">
          <xlrd:rvb i="27"/>
        </ext>
      </extLst>
    </bk>
    <bk>
      <extLst>
        <ext uri="{3e2802c4-a4d2-4d8b-9148-e3be6c30e623}">
          <xlrd:rvb i="30"/>
        </ext>
      </extLst>
    </bk>
    <bk>
      <extLst>
        <ext uri="{3e2802c4-a4d2-4d8b-9148-e3be6c30e623}">
          <xlrd:rvb i="33"/>
        </ext>
      </extLst>
    </bk>
    <bk>
      <extLst>
        <ext uri="{3e2802c4-a4d2-4d8b-9148-e3be6c30e623}">
          <xlrd:rvb i="36"/>
        </ext>
      </extLst>
    </bk>
    <bk>
      <extLst>
        <ext uri="{3e2802c4-a4d2-4d8b-9148-e3be6c30e623}">
          <xlrd:rvb i="39"/>
        </ext>
      </extLst>
    </bk>
    <bk>
      <extLst>
        <ext uri="{3e2802c4-a4d2-4d8b-9148-e3be6c30e623}">
          <xlrd:rvb i="42"/>
        </ext>
      </extLst>
    </bk>
    <bk>
      <extLst>
        <ext uri="{3e2802c4-a4d2-4d8b-9148-e3be6c30e623}">
          <xlrd:rvb i="44"/>
        </ext>
      </extLst>
    </bk>
    <bk>
      <extLst>
        <ext uri="{3e2802c4-a4d2-4d8b-9148-e3be6c30e623}">
          <xlrd:rvb i="47"/>
        </ext>
      </extLst>
    </bk>
    <bk>
      <extLst>
        <ext uri="{3e2802c4-a4d2-4d8b-9148-e3be6c30e623}">
          <xlrd:rvb i="50"/>
        </ext>
      </extLst>
    </bk>
    <bk>
      <extLst>
        <ext uri="{3e2802c4-a4d2-4d8b-9148-e3be6c30e623}">
          <xlrd:rvb i="53"/>
        </ext>
      </extLst>
    </bk>
    <bk>
      <extLst>
        <ext uri="{3e2802c4-a4d2-4d8b-9148-e3be6c30e623}">
          <xlrd:rvb i="56"/>
        </ext>
      </extLst>
    </bk>
    <bk>
      <extLst>
        <ext uri="{3e2802c4-a4d2-4d8b-9148-e3be6c30e623}">
          <xlrd:rvb i="59"/>
        </ext>
      </extLst>
    </bk>
    <bk>
      <extLst>
        <ext uri="{3e2802c4-a4d2-4d8b-9148-e3be6c30e623}">
          <xlrd:rvb i="62"/>
        </ext>
      </extLst>
    </bk>
    <bk>
      <extLst>
        <ext uri="{3e2802c4-a4d2-4d8b-9148-e3be6c30e623}">
          <xlrd:rvb i="65"/>
        </ext>
      </extLst>
    </bk>
    <bk>
      <extLst>
        <ext uri="{3e2802c4-a4d2-4d8b-9148-e3be6c30e623}">
          <xlrd:rvb i="68"/>
        </ext>
      </extLst>
    </bk>
    <bk>
      <extLst>
        <ext uri="{3e2802c4-a4d2-4d8b-9148-e3be6c30e623}">
          <xlrd:rvb i="71"/>
        </ext>
      </extLst>
    </bk>
    <bk>
      <extLst>
        <ext uri="{3e2802c4-a4d2-4d8b-9148-e3be6c30e623}">
          <xlrd:rvb i="74"/>
        </ext>
      </extLst>
    </bk>
    <bk>
      <extLst>
        <ext uri="{3e2802c4-a4d2-4d8b-9148-e3be6c30e623}">
          <xlrd:rvb i="77"/>
        </ext>
      </extLst>
    </bk>
    <bk>
      <extLst>
        <ext uri="{3e2802c4-a4d2-4d8b-9148-e3be6c30e623}">
          <xlrd:rvb i="80"/>
        </ext>
      </extLst>
    </bk>
    <bk>
      <extLst>
        <ext uri="{3e2802c4-a4d2-4d8b-9148-e3be6c30e623}">
          <xlrd:rvb i="83"/>
        </ext>
      </extLst>
    </bk>
    <bk>
      <extLst>
        <ext uri="{3e2802c4-a4d2-4d8b-9148-e3be6c30e623}">
          <xlrd:rvb i="86"/>
        </ext>
      </extLst>
    </bk>
    <bk>
      <extLst>
        <ext uri="{3e2802c4-a4d2-4d8b-9148-e3be6c30e623}">
          <xlrd:rvb i="89"/>
        </ext>
      </extLst>
    </bk>
    <bk>
      <extLst>
        <ext uri="{3e2802c4-a4d2-4d8b-9148-e3be6c30e623}">
          <xlrd:rvb i="92"/>
        </ext>
      </extLst>
    </bk>
    <bk>
      <extLst>
        <ext uri="{3e2802c4-a4d2-4d8b-9148-e3be6c30e623}">
          <xlrd:rvb i="95"/>
        </ext>
      </extLst>
    </bk>
    <bk>
      <extLst>
        <ext uri="{3e2802c4-a4d2-4d8b-9148-e3be6c30e623}">
          <xlrd:rvb i="98"/>
        </ext>
      </extLst>
    </bk>
    <bk>
      <extLst>
        <ext uri="{3e2802c4-a4d2-4d8b-9148-e3be6c30e623}">
          <xlrd:rvb i="100"/>
        </ext>
      </extLst>
    </bk>
    <bk>
      <extLst>
        <ext uri="{3e2802c4-a4d2-4d8b-9148-e3be6c30e623}">
          <xlrd:rvb i="103"/>
        </ext>
      </extLst>
    </bk>
    <bk>
      <extLst>
        <ext uri="{3e2802c4-a4d2-4d8b-9148-e3be6c30e623}">
          <xlrd:rvb i="109"/>
        </ext>
      </extLst>
    </bk>
    <bk>
      <extLst>
        <ext uri="{3e2802c4-a4d2-4d8b-9148-e3be6c30e623}">
          <xlrd:rvb i="112"/>
        </ext>
      </extLst>
    </bk>
    <bk>
      <extLst>
        <ext uri="{3e2802c4-a4d2-4d8b-9148-e3be6c30e623}">
          <xlrd:rvb i="115"/>
        </ext>
      </extLst>
    </bk>
    <bk>
      <extLst>
        <ext uri="{3e2802c4-a4d2-4d8b-9148-e3be6c30e623}">
          <xlrd:rvb i="121"/>
        </ext>
      </extLst>
    </bk>
    <bk>
      <extLst>
        <ext uri="{3e2802c4-a4d2-4d8b-9148-e3be6c30e623}">
          <xlrd:rvb i="124"/>
        </ext>
      </extLst>
    </bk>
    <bk>
      <extLst>
        <ext uri="{3e2802c4-a4d2-4d8b-9148-e3be6c30e623}">
          <xlrd:rvb i="127"/>
        </ext>
      </extLst>
    </bk>
    <bk>
      <extLst>
        <ext uri="{3e2802c4-a4d2-4d8b-9148-e3be6c30e623}">
          <xlrd:rvb i="130"/>
        </ext>
      </extLst>
    </bk>
    <bk>
      <extLst>
        <ext uri="{3e2802c4-a4d2-4d8b-9148-e3be6c30e623}">
          <xlrd:rvb i="133"/>
        </ext>
      </extLst>
    </bk>
    <bk>
      <extLst>
        <ext uri="{3e2802c4-a4d2-4d8b-9148-e3be6c30e623}">
          <xlrd:rvb i="136"/>
        </ext>
      </extLst>
    </bk>
    <bk>
      <extLst>
        <ext uri="{3e2802c4-a4d2-4d8b-9148-e3be6c30e623}">
          <xlrd:rvb i="139"/>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7"/>
        </ext>
      </extLst>
    </bk>
    <bk>
      <extLst>
        <ext uri="{3e2802c4-a4d2-4d8b-9148-e3be6c30e623}">
          <xlrd:rvb i="150"/>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futureMetadata>
  <cellMetadata count="1">
    <bk>
      <rc t="1" v="0"/>
    </bk>
  </cellMetadata>
  <valueMetadata count="53">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valueMetadata>
</metadata>
</file>

<file path=xl/sharedStrings.xml><?xml version="1.0" encoding="utf-8"?>
<sst xmlns="http://schemas.openxmlformats.org/spreadsheetml/2006/main" count="2795" uniqueCount="590">
  <si>
    <t>Income Statement</t>
  </si>
  <si>
    <t>Gross Profit</t>
  </si>
  <si>
    <t>EBITDA</t>
  </si>
  <si>
    <t>EBIT</t>
  </si>
  <si>
    <t>Balance Sheet</t>
  </si>
  <si>
    <t>Current Ratio</t>
  </si>
  <si>
    <t>Free Cash Flow</t>
  </si>
  <si>
    <t>Total Debt</t>
  </si>
  <si>
    <t>Quick Ratio</t>
  </si>
  <si>
    <t>Enterprise Value</t>
  </si>
  <si>
    <t>Period Ending</t>
  </si>
  <si>
    <t>Cash &amp; Equivalents</t>
  </si>
  <si>
    <t>-</t>
  </si>
  <si>
    <t>Retained Earnings</t>
  </si>
  <si>
    <t>Shareholders' Equity</t>
  </si>
  <si>
    <t>Net Cash (Debt)</t>
  </si>
  <si>
    <t>Book Value Per Share</t>
  </si>
  <si>
    <t>Net Income</t>
  </si>
  <si>
    <t>Free Cash Flow Per Share</t>
  </si>
  <si>
    <t>PE Ratio</t>
  </si>
  <si>
    <t>PS Ratio</t>
  </si>
  <si>
    <t>PB Ratio</t>
  </si>
  <si>
    <t>P/FCF Ratio</t>
  </si>
  <si>
    <t>P/OCF Ratio</t>
  </si>
  <si>
    <t>EV/Sales Ratio</t>
  </si>
  <si>
    <t>EV/FCF Ratio</t>
  </si>
  <si>
    <t>Return on Equity (ROE)</t>
  </si>
  <si>
    <t>Return on Assets (ROA)</t>
  </si>
  <si>
    <t>Return on Capital (ROIC)</t>
  </si>
  <si>
    <t>Return on Capital Employed (ROCE)</t>
  </si>
  <si>
    <t>Earnings Yield</t>
  </si>
  <si>
    <t>FCF Yield</t>
  </si>
  <si>
    <t>Revenue</t>
  </si>
  <si>
    <t>EPS (Basic)</t>
  </si>
  <si>
    <t>EPS (Diluted)</t>
  </si>
  <si>
    <t>Dividend Per Share</t>
  </si>
  <si>
    <t>Gross Margin</t>
  </si>
  <si>
    <t>Operating Margin</t>
  </si>
  <si>
    <t>Profit Margin</t>
  </si>
  <si>
    <t>Per Share Data</t>
  </si>
  <si>
    <t>EV</t>
  </si>
  <si>
    <t>Profitability &amp; Efficiency</t>
  </si>
  <si>
    <t>Valuation Multiples</t>
  </si>
  <si>
    <t>Year</t>
  </si>
  <si>
    <t>TTM</t>
  </si>
  <si>
    <t>Market Cap</t>
  </si>
  <si>
    <t>n/a</t>
  </si>
  <si>
    <t>Analysit Coverage</t>
  </si>
  <si>
    <t>Forward PE</t>
  </si>
  <si>
    <t>Forward PS</t>
  </si>
  <si>
    <t>EV / Earnings</t>
  </si>
  <si>
    <t>EV / Sales</t>
  </si>
  <si>
    <t>EV / EBITDA</t>
  </si>
  <si>
    <t>EV / EBIT</t>
  </si>
  <si>
    <t>EV / FCF</t>
  </si>
  <si>
    <t>Debt / Equity</t>
  </si>
  <si>
    <t>Debt / EBITDA</t>
  </si>
  <si>
    <t>Debt / FCF</t>
  </si>
  <si>
    <t>Interest Coverage</t>
  </si>
  <si>
    <t>Price Target</t>
  </si>
  <si>
    <t>Price Target Difference</t>
  </si>
  <si>
    <t>Analyst Consensus</t>
  </si>
  <si>
    <t>Analyst Count</t>
  </si>
  <si>
    <t>Revenue Growth Forecast (5Y)</t>
  </si>
  <si>
    <t>EPS Growth Forecast (5Y)</t>
  </si>
  <si>
    <t>Upgrade</t>
  </si>
  <si>
    <t>EPS Growth</t>
  </si>
  <si>
    <t xml:space="preserve">Current Ratio </t>
  </si>
  <si>
    <t xml:space="preserve">Quick Ratio </t>
  </si>
  <si>
    <t xml:space="preserve">Effective Tax Rate </t>
  </si>
  <si>
    <t>Z-Score</t>
  </si>
  <si>
    <t>Buy</t>
  </si>
  <si>
    <t>Strong Buy</t>
  </si>
  <si>
    <t>Sell</t>
  </si>
  <si>
    <t>Hold</t>
  </si>
  <si>
    <t>Target</t>
  </si>
  <si>
    <t>Low</t>
  </si>
  <si>
    <t>Average</t>
  </si>
  <si>
    <t>Median</t>
  </si>
  <si>
    <t>High</t>
  </si>
  <si>
    <t>Price</t>
  </si>
  <si>
    <t>Change</t>
  </si>
  <si>
    <t>Rating</t>
  </si>
  <si>
    <t>Strong Sell</t>
  </si>
  <si>
    <t>Total</t>
  </si>
  <si>
    <t>Analyst</t>
  </si>
  <si>
    <t>Firm</t>
  </si>
  <si>
    <t>Action</t>
  </si>
  <si>
    <t>Upside</t>
  </si>
  <si>
    <t>Date</t>
  </si>
  <si>
    <t>Fiscal Year</t>
  </si>
  <si>
    <t>FY 2021</t>
  </si>
  <si>
    <t>FY 2022</t>
  </si>
  <si>
    <t>FY 2023</t>
  </si>
  <si>
    <t>FY 2024</t>
  </si>
  <si>
    <t>Revenue Growth</t>
  </si>
  <si>
    <t>EPS</t>
  </si>
  <si>
    <t>No. Analysts</t>
  </si>
  <si>
    <t>Avg</t>
  </si>
  <si>
    <t>Med</t>
  </si>
  <si>
    <t>Fiscal Quarter</t>
  </si>
  <si>
    <t>Q4 2024</t>
  </si>
  <si>
    <t>Q3 2024</t>
  </si>
  <si>
    <t>Q4 2023</t>
  </si>
  <si>
    <t>Q4 2022</t>
  </si>
  <si>
    <t>Q4 2021</t>
  </si>
  <si>
    <t>Cost of Revenue</t>
  </si>
  <si>
    <t>Selling, General &amp; Admin</t>
  </si>
  <si>
    <t>Operating Expenses</t>
  </si>
  <si>
    <t>Operating Income</t>
  </si>
  <si>
    <t>Interest Expense</t>
  </si>
  <si>
    <t>Interest &amp; Investment Income</t>
  </si>
  <si>
    <t>Pretax Income</t>
  </si>
  <si>
    <t>Income Tax Expense</t>
  </si>
  <si>
    <t>Net Income to Common</t>
  </si>
  <si>
    <t>Shares Outstanding (Basic)</t>
  </si>
  <si>
    <t>Shares Outstanding (Diluted)</t>
  </si>
  <si>
    <t>Free Cash Flow Margin</t>
  </si>
  <si>
    <t>EBITDA Margin</t>
  </si>
  <si>
    <t>D&amp;A For EBITDA</t>
  </si>
  <si>
    <t>EBIT Margin</t>
  </si>
  <si>
    <t>Effective Tax Rate</t>
  </si>
  <si>
    <t>Cash &amp; Short-Term Investments</t>
  </si>
  <si>
    <t>Receivables</t>
  </si>
  <si>
    <t>Inventory</t>
  </si>
  <si>
    <t>Other Current Assets</t>
  </si>
  <si>
    <t>Total Current Assets</t>
  </si>
  <si>
    <t>Property, Plant &amp; Equipment</t>
  </si>
  <si>
    <t>Other Long-Term Assets</t>
  </si>
  <si>
    <t>Total Assets</t>
  </si>
  <si>
    <t>Accounts Payable</t>
  </si>
  <si>
    <t>Accrued Expenses</t>
  </si>
  <si>
    <t>Current Portion of Leases</t>
  </si>
  <si>
    <t>Other Current Liabilities</t>
  </si>
  <si>
    <t>Total Current Liabilities</t>
  </si>
  <si>
    <t>Long-Term Debt</t>
  </si>
  <si>
    <t>Long-Term Leases</t>
  </si>
  <si>
    <t>Other Long-Term Liabilities</t>
  </si>
  <si>
    <t>Total Liabilities</t>
  </si>
  <si>
    <t>Common Stock</t>
  </si>
  <si>
    <t>Additional Paid-In Capital</t>
  </si>
  <si>
    <t>Comprehensive Income &amp; Other</t>
  </si>
  <si>
    <t>Total Liabilities &amp; Equity</t>
  </si>
  <si>
    <t>Net Cash Per Share</t>
  </si>
  <si>
    <t>Filing Date Shares Outstanding</t>
  </si>
  <si>
    <t>Total Common Shares Outstanding</t>
  </si>
  <si>
    <t>Working Capital</t>
  </si>
  <si>
    <t>Tangible Book Value</t>
  </si>
  <si>
    <t>Tangible Book Value Per Share</t>
  </si>
  <si>
    <t>Machinery</t>
  </si>
  <si>
    <t>Depreciation &amp; Amortization</t>
  </si>
  <si>
    <t>Stock-Based Compensation</t>
  </si>
  <si>
    <t>Other Operating Activities</t>
  </si>
  <si>
    <t>Change in Inventory</t>
  </si>
  <si>
    <t>Change in Accounts Payable</t>
  </si>
  <si>
    <t>Change in Other Net Operating Assets</t>
  </si>
  <si>
    <t>Operating Cash Flow</t>
  </si>
  <si>
    <t>Capital Expenditures</t>
  </si>
  <si>
    <t>Other Investing Activities</t>
  </si>
  <si>
    <t>Investing Cash Flow</t>
  </si>
  <si>
    <t>Total Debt Issued</t>
  </si>
  <si>
    <t>Long-Term Debt Repaid</t>
  </si>
  <si>
    <t>Total Debt Repaid</t>
  </si>
  <si>
    <t>Net Debt Issued (Repaid)</t>
  </si>
  <si>
    <t>Other Financing Activities</t>
  </si>
  <si>
    <t>Financing Cash Flow</t>
  </si>
  <si>
    <t>Net Cash Flow</t>
  </si>
  <si>
    <t>Cash Interest Paid</t>
  </si>
  <si>
    <t>Cash Income Tax Paid</t>
  </si>
  <si>
    <t>Levered Free Cash Flow</t>
  </si>
  <si>
    <t>Unlevered Free Cash Flow</t>
  </si>
  <si>
    <t>Change in Net Working Capital</t>
  </si>
  <si>
    <t>Current</t>
  </si>
  <si>
    <t>Market Capitalization</t>
  </si>
  <si>
    <t>Debt / Equity Ratio</t>
  </si>
  <si>
    <t>Debt / EBITDA Ratio</t>
  </si>
  <si>
    <t>Asset Turnover</t>
  </si>
  <si>
    <t>Inventory Turnover</t>
  </si>
  <si>
    <t>Total Equity</t>
  </si>
  <si>
    <t>Net Debt</t>
  </si>
  <si>
    <t>Q2 2024</t>
  </si>
  <si>
    <t>Q1 2024</t>
  </si>
  <si>
    <t>Q3 2023</t>
  </si>
  <si>
    <t>Q2 2023</t>
  </si>
  <si>
    <t>Q1 2023</t>
  </si>
  <si>
    <t>Q3 2022</t>
  </si>
  <si>
    <t>Q2 2022</t>
  </si>
  <si>
    <t>Q1 2022</t>
  </si>
  <si>
    <t>Q3 2021</t>
  </si>
  <si>
    <t>Q2 2021</t>
  </si>
  <si>
    <t>Q1 2021</t>
  </si>
  <si>
    <t>Revenue Growth (YoY)</t>
  </si>
  <si>
    <t>EBT Excluding Unusual Items</t>
  </si>
  <si>
    <t>Shares Change (YoY)</t>
  </si>
  <si>
    <t>Cash Growth</t>
  </si>
  <si>
    <t>Goodwill</t>
  </si>
  <si>
    <t>Current Income Taxes Payable</t>
  </si>
  <si>
    <t>Operating Cash Flow Growth</t>
  </si>
  <si>
    <t>Repurchase of Common Stock</t>
  </si>
  <si>
    <t>Foreign Exchange Rate Adjustments</t>
  </si>
  <si>
    <t>Free Cash Flow Growth</t>
  </si>
  <si>
    <t>Market Cap Growth</t>
  </si>
  <si>
    <t>Last Close Price</t>
  </si>
  <si>
    <t>EV/EBITDA Ratio</t>
  </si>
  <si>
    <t>EV/EBIT Ratio</t>
  </si>
  <si>
    <t>Debt / FCF Ratio</t>
  </si>
  <si>
    <t>Buyback Yield / Dilution</t>
  </si>
  <si>
    <t>Issuance of Common Stock</t>
  </si>
  <si>
    <t>Ticker</t>
  </si>
  <si>
    <t>Ind</t>
  </si>
  <si>
    <t>% Change</t>
  </si>
  <si>
    <t>52WLow</t>
  </si>
  <si>
    <t>52WHigh</t>
  </si>
  <si>
    <t>Volume</t>
  </si>
  <si>
    <t>Company</t>
  </si>
  <si>
    <t>Headquarters</t>
  </si>
  <si>
    <t>Founding</t>
  </si>
  <si>
    <t>Tracker</t>
  </si>
  <si>
    <t>Portfolio</t>
  </si>
  <si>
    <t>Research &amp; Development</t>
  </si>
  <si>
    <t>Sale of Property, Plant &amp; Equipment</t>
  </si>
  <si>
    <t>Other Operating Expenses</t>
  </si>
  <si>
    <t>Ticker-------------------&gt;</t>
  </si>
  <si>
    <t>Fair value</t>
  </si>
  <si>
    <t>DCF Model</t>
  </si>
  <si>
    <t xml:space="preserve">Revenue growth rate </t>
  </si>
  <si>
    <t>Ebitda Margin</t>
  </si>
  <si>
    <t>Depreciation &amp; Amortization / Rev</t>
  </si>
  <si>
    <t>Capital Expenditures/rev</t>
  </si>
  <si>
    <t>Change in Net Working Capital/Rev</t>
  </si>
  <si>
    <t>WACC</t>
  </si>
  <si>
    <t>Prev Close</t>
  </si>
  <si>
    <t>Beta</t>
  </si>
  <si>
    <t>Market Value of Equity</t>
  </si>
  <si>
    <t>Market Value of Debt</t>
  </si>
  <si>
    <t>Risk free rate</t>
  </si>
  <si>
    <t>Market equity risk premium</t>
  </si>
  <si>
    <t>Cost of equity</t>
  </si>
  <si>
    <t>Cost of Debt - TTM</t>
  </si>
  <si>
    <t>Effective tax rate</t>
  </si>
  <si>
    <t>Less: Taxes</t>
  </si>
  <si>
    <t>NOPAT</t>
  </si>
  <si>
    <t>Depreciation</t>
  </si>
  <si>
    <t>CapEx</t>
  </si>
  <si>
    <t>Change in NWC</t>
  </si>
  <si>
    <t>Free Cash Flow (FCF)</t>
  </si>
  <si>
    <t>PV</t>
  </si>
  <si>
    <t>T-Value</t>
  </si>
  <si>
    <t>PV of TV</t>
  </si>
  <si>
    <t>Ent. Val.</t>
  </si>
  <si>
    <t>Equity Val.</t>
  </si>
  <si>
    <t>Equity/ Share</t>
  </si>
  <si>
    <t>T Growth Rate</t>
  </si>
  <si>
    <t>Period Ending:</t>
  </si>
  <si>
    <t>LTM</t>
  </si>
  <si>
    <t xml:space="preserve">(Last Twelve Months) </t>
  </si>
  <si>
    <t>Report Filing</t>
  </si>
  <si>
    <t xml:space="preserve">Operating Expenses </t>
  </si>
  <si>
    <t>Selling, General and Administrative</t>
  </si>
  <si>
    <t>Net Non-Operating Interest</t>
  </si>
  <si>
    <t>Interest Income</t>
  </si>
  <si>
    <t>Equity &amp; Other Income/(Expense)</t>
  </si>
  <si>
    <t>Income Before Tax</t>
  </si>
  <si>
    <t>Income Attributable to Non-Controlling Interest</t>
  </si>
  <si>
    <t>Depreciation and Amortization</t>
  </si>
  <si>
    <t>Earnings Per Share (EPS)</t>
  </si>
  <si>
    <t>Diluted Earnings Per Share</t>
  </si>
  <si>
    <t>Weighted Average Shares Outstanding</t>
  </si>
  <si>
    <t>Diluted Weighted Average Shares Outstanding</t>
  </si>
  <si>
    <t>Report Filing:</t>
  </si>
  <si>
    <t>Cash and Short Term Investments</t>
  </si>
  <si>
    <t>Short Term Investments</t>
  </si>
  <si>
    <t>Total Non-Current Assets</t>
  </si>
  <si>
    <t>Property, Plant and Equipment</t>
  </si>
  <si>
    <t>Goodwill and Intangible Assets</t>
  </si>
  <si>
    <t>Intangible Assets</t>
  </si>
  <si>
    <t>Long Term Investments</t>
  </si>
  <si>
    <t>Deferred Tax Assets</t>
  </si>
  <si>
    <t>Other Long Term Assets</t>
  </si>
  <si>
    <t>Notes Payable/Short Term Debt</t>
  </si>
  <si>
    <t>Tax Payables</t>
  </si>
  <si>
    <t>Deferred Revenue</t>
  </si>
  <si>
    <t>Total Non-Current Liabilities</t>
  </si>
  <si>
    <t>Total Long Term Debt</t>
  </si>
  <si>
    <t>Deferred Tax Liabilities Non-Current</t>
  </si>
  <si>
    <t>Deferred Revenue Non-Current</t>
  </si>
  <si>
    <t>Capital Lease Obligations</t>
  </si>
  <si>
    <t>Other Long Term Liabilities</t>
  </si>
  <si>
    <t>Non-Controlling Interest</t>
  </si>
  <si>
    <t>Total Stockholders' Equity</t>
  </si>
  <si>
    <t>Accumulated Other Earnings</t>
  </si>
  <si>
    <t>Preferred Stock</t>
  </si>
  <si>
    <t>Additional Paid in Capital</t>
  </si>
  <si>
    <t>Total Liabilities &amp; Total Equity</t>
  </si>
  <si>
    <t>Total Liabilities &amp; Shareholders' Equity</t>
  </si>
  <si>
    <t>Total Investments</t>
  </si>
  <si>
    <t>Net Income/Starting Line</t>
  </si>
  <si>
    <t>Cash From Operating Activities</t>
  </si>
  <si>
    <t>Deferred Income Tax</t>
  </si>
  <si>
    <t>Stock Based Compensation</t>
  </si>
  <si>
    <t>Other Non-Cash Items</t>
  </si>
  <si>
    <t>Changes in Working Capital</t>
  </si>
  <si>
    <t>Accounts Receivable</t>
  </si>
  <si>
    <t>Other Working Capital</t>
  </si>
  <si>
    <t>Cash From Investing Activities</t>
  </si>
  <si>
    <t>Investments in Property Plant and Equipment</t>
  </si>
  <si>
    <t>Payments for Acquisitions</t>
  </si>
  <si>
    <t>Purchases of Securities</t>
  </si>
  <si>
    <t>Sales and Maturities of Investments</t>
  </si>
  <si>
    <t>Cash From Financing Activities</t>
  </si>
  <si>
    <t>Debt Repayment</t>
  </si>
  <si>
    <t>Common Stock Issued</t>
  </si>
  <si>
    <t>Common Stock Repurchased</t>
  </si>
  <si>
    <t>Dividends Paid</t>
  </si>
  <si>
    <t>Effect of Forex Changes on Cash</t>
  </si>
  <si>
    <t>Net Change in Cash</t>
  </si>
  <si>
    <t>Cash at Beginning of Period</t>
  </si>
  <si>
    <t>Cash at End of Period</t>
  </si>
  <si>
    <t>Capital Expenditure</t>
  </si>
  <si>
    <t>Price Ratios</t>
  </si>
  <si>
    <t xml:space="preserve">Price to Earnings Ratio </t>
  </si>
  <si>
    <t xml:space="preserve">Price to Sales Ratio </t>
  </si>
  <si>
    <t xml:space="preserve">Price to Book Ratio </t>
  </si>
  <si>
    <t xml:space="preserve">Price to Free Cash Flow Ratio </t>
  </si>
  <si>
    <t xml:space="preserve">Price to Operating Cash Flow Ratio </t>
  </si>
  <si>
    <t xml:space="preserve">Price Earnings to Growth Ratio </t>
  </si>
  <si>
    <t xml:space="preserve">EV to EBITDA </t>
  </si>
  <si>
    <t>Liquidity Ratios</t>
  </si>
  <si>
    <t xml:space="preserve">Cash Ratio </t>
  </si>
  <si>
    <t xml:space="preserve">Debt Ratio </t>
  </si>
  <si>
    <t xml:space="preserve">Debt to Equity Ratio </t>
  </si>
  <si>
    <t xml:space="preserve">Long Term Debt to Capitalization </t>
  </si>
  <si>
    <t xml:space="preserve">Total Debt to Capitalization </t>
  </si>
  <si>
    <t xml:space="preserve">Interest Coverage Ratio </t>
  </si>
  <si>
    <t xml:space="preserve">Cash Flow to Debt Ratio </t>
  </si>
  <si>
    <t>Margins</t>
  </si>
  <si>
    <t xml:space="preserve">Gross Profit Margin </t>
  </si>
  <si>
    <t xml:space="preserve">Operating Profit Margin </t>
  </si>
  <si>
    <t xml:space="preserve">Pretax Profit Margin </t>
  </si>
  <si>
    <t xml:space="preserve">Net Profit Margin </t>
  </si>
  <si>
    <t xml:space="preserve">Operating Cash Flow Margin </t>
  </si>
  <si>
    <t xml:space="preserve">Free Cash Flow Margin </t>
  </si>
  <si>
    <t>Return</t>
  </si>
  <si>
    <t xml:space="preserve">Return on Assets </t>
  </si>
  <si>
    <t xml:space="preserve">Return on Equity </t>
  </si>
  <si>
    <t xml:space="preserve">Return on Capital Employed </t>
  </si>
  <si>
    <t xml:space="preserve">Return on Invested Capital </t>
  </si>
  <si>
    <t>Turnover Ratios</t>
  </si>
  <si>
    <t xml:space="preserve">Receivables Turnover Ratio </t>
  </si>
  <si>
    <t xml:space="preserve">Payables Turnover Ratio </t>
  </si>
  <si>
    <t xml:space="preserve">Inventory Turnover Ratio </t>
  </si>
  <si>
    <t xml:space="preserve">Fixed Asset Turnover Ratio </t>
  </si>
  <si>
    <t xml:space="preserve">Asset Turnover Ratio </t>
  </si>
  <si>
    <r>
      <t>Per Share Items (</t>
    </r>
    <r>
      <rPr>
        <sz val="12"/>
        <color theme="1"/>
        <rFont val="Aptos Narrow"/>
        <family val="2"/>
        <scheme val="minor"/>
      </rPr>
      <t>)</t>
    </r>
  </si>
  <si>
    <t>Revenue Per Share</t>
  </si>
  <si>
    <t>Operating Cash Flow Per Share</t>
  </si>
  <si>
    <t>Cash &amp; Short Term Investments</t>
  </si>
  <si>
    <t>Earnings Per Share</t>
  </si>
  <si>
    <t>EBITDA Per Share</t>
  </si>
  <si>
    <t xml:space="preserve">Enterprise Value Per Share </t>
  </si>
  <si>
    <t>Price Per Share</t>
  </si>
  <si>
    <t xml:space="preserve">Short Term Coverage Ratio </t>
  </si>
  <si>
    <t xml:space="preserve">Capital Expenditure Coverage Ratio </t>
  </si>
  <si>
    <t xml:space="preserve">EBIT Per Revenue </t>
  </si>
  <si>
    <t xml:space="preserve">EBITDA Per Revenue </t>
  </si>
  <si>
    <t xml:space="preserve">Days of Sales Outstanding </t>
  </si>
  <si>
    <t xml:space="preserve">Days of Inventory Outstanding </t>
  </si>
  <si>
    <t xml:space="preserve">Days of Payables Outstanding </t>
  </si>
  <si>
    <t xml:space="preserve">Cash Conversion Cycle </t>
  </si>
  <si>
    <t xml:space="preserve">Cash Conversion Ratio </t>
  </si>
  <si>
    <t xml:space="preserve">Free Cash Flow to Earnings </t>
  </si>
  <si>
    <t>Other Non Operating Income (Expenses)</t>
  </si>
  <si>
    <t>Change in Accounts Receivable</t>
  </si>
  <si>
    <t>Cash Flow</t>
  </si>
  <si>
    <t>Cash from operating activities</t>
  </si>
  <si>
    <t>ROE</t>
  </si>
  <si>
    <t>ROA</t>
  </si>
  <si>
    <t>ROIC</t>
  </si>
  <si>
    <t>ROCE</t>
  </si>
  <si>
    <t>PS</t>
  </si>
  <si>
    <t>PB</t>
  </si>
  <si>
    <t>P/FCF</t>
  </si>
  <si>
    <t>P/OCF</t>
  </si>
  <si>
    <t>PEG</t>
  </si>
  <si>
    <t>Debt to Ebitda Ratio</t>
  </si>
  <si>
    <t>Debt to FCF Ratio</t>
  </si>
  <si>
    <t>Return Margins</t>
  </si>
  <si>
    <t>Debt Ratios</t>
  </si>
  <si>
    <t>Funds</t>
  </si>
  <si>
    <t>Insiders</t>
  </si>
  <si>
    <t>Towle</t>
  </si>
  <si>
    <t>Ticker ----------&gt;</t>
  </si>
  <si>
    <t>Other Intangible Assets</t>
  </si>
  <si>
    <t>Current Portion of Long-Term Debt</t>
  </si>
  <si>
    <t>Long-Term Deferred Tax Liabilities</t>
  </si>
  <si>
    <t>avg g</t>
  </si>
  <si>
    <t>1yGrowth</t>
  </si>
  <si>
    <t>5yGrowth</t>
  </si>
  <si>
    <t>10yGrowth</t>
  </si>
  <si>
    <t>Equity Multiplier</t>
  </si>
  <si>
    <t>Shareholders' equity</t>
  </si>
  <si>
    <t xml:space="preserve">Annual Dividend Yield </t>
  </si>
  <si>
    <t>P/TBV Ratio</t>
  </si>
  <si>
    <t>Employee Count</t>
  </si>
  <si>
    <t>Dec '23 Dec 31, 2023</t>
  </si>
  <si>
    <t>Jun '24 Jun 30, 2024</t>
  </si>
  <si>
    <t>Mar '24 Mar 31, 2024</t>
  </si>
  <si>
    <t>FY 2025</t>
  </si>
  <si>
    <t>Jun '23 Jun 30, 2023</t>
  </si>
  <si>
    <t>Jun '22 Jun 30, 2022</t>
  </si>
  <si>
    <t>Jun '21 Jun 30, 2021</t>
  </si>
  <si>
    <t>Jun '20 Jun 30, 2020</t>
  </si>
  <si>
    <t>Long-Term Debt Issued</t>
  </si>
  <si>
    <t>Dec '24 Dec 31, 2024</t>
  </si>
  <si>
    <t>Sep '24 Sep 30, 2024</t>
  </si>
  <si>
    <t>Sep '23 Sep 30, 2023</t>
  </si>
  <si>
    <t>Mar '23 Mar 31, 2023</t>
  </si>
  <si>
    <t>Dec '22 Dec 31, 2022</t>
  </si>
  <si>
    <t>Sep '22 Sep 30, 2022</t>
  </si>
  <si>
    <t>Mar '22 Mar 31, 2022</t>
  </si>
  <si>
    <t>Dec '21 Dec 31, 2021</t>
  </si>
  <si>
    <t>Sep '21 Sep 30, 2021</t>
  </si>
  <si>
    <t>Mar '21 Mar 31, 2021</t>
  </si>
  <si>
    <t>Dec '20 Dec 31, 2020</t>
  </si>
  <si>
    <t>Sep '20 Sep 30, 2020</t>
  </si>
  <si>
    <t>Currency Exchange Gain (Loss)</t>
  </si>
  <si>
    <t>Treasury Stock</t>
  </si>
  <si>
    <t>Loss (Gain) From Sale of Assets</t>
  </si>
  <si>
    <t>Prepaid Expenses</t>
  </si>
  <si>
    <t>Investment in Securities</t>
  </si>
  <si>
    <t>Long-Term Deferred Tax Assets</t>
  </si>
  <si>
    <t>Current Unearned Revenue</t>
  </si>
  <si>
    <t>Q1 2025</t>
  </si>
  <si>
    <t>Mar '25 Mar 31, 2025</t>
  </si>
  <si>
    <t>PEG Ratio</t>
  </si>
  <si>
    <t>Dividend Yield</t>
  </si>
  <si>
    <t>Payout Ratio</t>
  </si>
  <si>
    <t>Earnings Date</t>
  </si>
  <si>
    <t>Ex-Dividend Date</t>
  </si>
  <si>
    <t>Current Share Class</t>
  </si>
  <si>
    <t>Shares Outstanding</t>
  </si>
  <si>
    <t>Shares Change (QoQ)</t>
  </si>
  <si>
    <t>Owned by Insiders (%)</t>
  </si>
  <si>
    <t>Owned by Institutions (%)</t>
  </si>
  <si>
    <t>Float</t>
  </si>
  <si>
    <t>Return on Invested Capital (ROIC)</t>
  </si>
  <si>
    <t>Revenue Per Employee</t>
  </si>
  <si>
    <t>Profits Per Employee</t>
  </si>
  <si>
    <t>Income Tax</t>
  </si>
  <si>
    <t>Beta (5Y)</t>
  </si>
  <si>
    <t>52-Week Price Change</t>
  </si>
  <si>
    <t>50-Day Moving Average</t>
  </si>
  <si>
    <t>200-Day Moving Average</t>
  </si>
  <si>
    <t>Relative Strength Index (RSI)</t>
  </si>
  <si>
    <t>Average Volume (20 Days)</t>
  </si>
  <si>
    <t>Short Interest</t>
  </si>
  <si>
    <t>Short Previous Month</t>
  </si>
  <si>
    <t>Short % of Shares Out</t>
  </si>
  <si>
    <t>Short % of Float</t>
  </si>
  <si>
    <t>Short Ratio (days to cover)</t>
  </si>
  <si>
    <t>Cash &amp; Cash Equivalents</t>
  </si>
  <si>
    <t>Net Cash</t>
  </si>
  <si>
    <t>Equity (Book Value)</t>
  </si>
  <si>
    <t>FCF Per Share</t>
  </si>
  <si>
    <t>Pretax Margin</t>
  </si>
  <si>
    <t>FCF Margin</t>
  </si>
  <si>
    <t>Dividend Growth (YoY)</t>
  </si>
  <si>
    <t>Years of Dividend Growth</t>
  </si>
  <si>
    <t>Buyback Yield</t>
  </si>
  <si>
    <t>Shareholder Yield</t>
  </si>
  <si>
    <t>Last Split Date</t>
  </si>
  <si>
    <t>Split Type</t>
  </si>
  <si>
    <t>Split Ratio</t>
  </si>
  <si>
    <t>Altman Z-Score</t>
  </si>
  <si>
    <t>Piotroski F-Score</t>
  </si>
  <si>
    <t>Other Amortization</t>
  </si>
  <si>
    <t>+20 Quarters</t>
  </si>
  <si>
    <t>Merger &amp; Restructuring Charges</t>
  </si>
  <si>
    <t>Other Unusual Items</t>
  </si>
  <si>
    <t>Long-Term Investments</t>
  </si>
  <si>
    <t>Land</t>
  </si>
  <si>
    <t>Construction In Progress</t>
  </si>
  <si>
    <t>Short-Term Debt Issued</t>
  </si>
  <si>
    <t>Asset Writedown &amp; Restructuring Costs</t>
  </si>
  <si>
    <t>Q3 2025</t>
  </si>
  <si>
    <t>Q2 2025</t>
  </si>
  <si>
    <t>Net Income Growth</t>
  </si>
  <si>
    <t>Buildings</t>
  </si>
  <si>
    <t>Cash Acquisitions</t>
  </si>
  <si>
    <t>Trading Asset Securities</t>
  </si>
  <si>
    <t>Q4 2025</t>
  </si>
  <si>
    <t>cmco</t>
  </si>
  <si>
    <t>Gain (Loss) on Sale of Investments</t>
  </si>
  <si>
    <t>Dividend Growth</t>
  </si>
  <si>
    <t>Long-Term Deferred Charges</t>
  </si>
  <si>
    <t>Order Backlog</t>
  </si>
  <si>
    <t>Common Dividends Paid</t>
  </si>
  <si>
    <t>May '25 May 30, 2025</t>
  </si>
  <si>
    <t>Total Shareholder Return</t>
  </si>
  <si>
    <t>Lynch Fair Value</t>
  </si>
  <si>
    <t>Lynch Upside</t>
  </si>
  <si>
    <t>Graham Number</t>
  </si>
  <si>
    <t>Graham Upside</t>
  </si>
  <si>
    <t>Q4 2020</t>
  </si>
  <si>
    <t>FY 2020</t>
  </si>
  <si>
    <t>Other Receivables</t>
  </si>
  <si>
    <t>Net Cash Growth</t>
  </si>
  <si>
    <t>Leasehold Improvements</t>
  </si>
  <si>
    <t>Provision &amp; Write-off of Bad Debts</t>
  </si>
  <si>
    <t>Preferred Dividends &amp; Other Adjustments</t>
  </si>
  <si>
    <t>Revenue as Reported</t>
  </si>
  <si>
    <t>Change in Unearned Revenue</t>
  </si>
  <si>
    <t>Loss Per Share</t>
  </si>
  <si>
    <t>Q3 2020</t>
  </si>
  <si>
    <t>Q2 2020</t>
  </si>
  <si>
    <t>Short-Term Investments</t>
  </si>
  <si>
    <t>Restricted Cash</t>
  </si>
  <si>
    <t>Long-Term Accounts Receivable</t>
  </si>
  <si>
    <t>Long-Term Unearned Revenue</t>
  </si>
  <si>
    <t>Total Common Equity</t>
  </si>
  <si>
    <t>Forward</t>
  </si>
  <si>
    <t>Sale (Purchase) of Intangibles</t>
  </si>
  <si>
    <t>Feb '25</t>
  </si>
  <si>
    <t>Mar '25</t>
  </si>
  <si>
    <t>Apr '25</t>
  </si>
  <si>
    <t>May '25</t>
  </si>
  <si>
    <t>Jun '25</t>
  </si>
  <si>
    <t>Jul '25</t>
  </si>
  <si>
    <t>Maintains</t>
  </si>
  <si>
    <t>FY 2026</t>
  </si>
  <si>
    <t>FY 2027</t>
  </si>
  <si>
    <t>mstr</t>
  </si>
  <si>
    <t>Legal Settlements</t>
  </si>
  <si>
    <t>Advertising Expenses</t>
  </si>
  <si>
    <t>Loss (Gain) From Sale of Investments</t>
  </si>
  <si>
    <t>Preferred Dividends Paid</t>
  </si>
  <si>
    <t>Jul '25 Jul 30, 2025</t>
  </si>
  <si>
    <t>None</t>
  </si>
  <si>
    <t>112.01B</t>
  </si>
  <si>
    <t>119.98B</t>
  </si>
  <si>
    <t>263.91M</t>
  </si>
  <si>
    <t>283.55M</t>
  </si>
  <si>
    <t>263.30M</t>
  </si>
  <si>
    <t>-$3.48M</t>
  </si>
  <si>
    <t>-2.33B</t>
  </si>
  <si>
    <t>25.59M</t>
  </si>
  <si>
    <t>23.55M</t>
  </si>
  <si>
    <t>459.28M</t>
  </si>
  <si>
    <t>325.85M</t>
  </si>
  <si>
    <t>-7.57B</t>
  </si>
  <si>
    <t>-5.34B</t>
  </si>
  <si>
    <t>-7.56B</t>
  </si>
  <si>
    <t>60.30M</t>
  </si>
  <si>
    <t>8.19B</t>
  </si>
  <si>
    <t>-8.13B</t>
  </si>
  <si>
    <t>33.53B</t>
  </si>
  <si>
    <t>-105.08M</t>
  </si>
  <si>
    <t>-84.01M</t>
  </si>
  <si>
    <t>-20.67M</t>
  </si>
  <si>
    <t>-104.68M</t>
  </si>
  <si>
    <t>Brett Knoblauch</t>
  </si>
  <si>
    <t>Cantor Fitzgerald</t>
  </si>
  <si>
    <t>$614 → $680</t>
  </si>
  <si>
    <t>Lance Vitanza</t>
  </si>
  <si>
    <t>TD Cowen</t>
  </si>
  <si>
    <t>$590 → $680</t>
  </si>
  <si>
    <t>Ramsey El-Assal</t>
  </si>
  <si>
    <t>Barclays</t>
  </si>
  <si>
    <t>$421 → $475</t>
  </si>
  <si>
    <t>$619 → $614</t>
  </si>
  <si>
    <t>Mike Colonnese</t>
  </si>
  <si>
    <t>HC Wainwright &amp; Co.</t>
  </si>
  <si>
    <t>$480 → $521</t>
  </si>
  <si>
    <t>480.74M</t>
  </si>
  <si>
    <t>510.76M</t>
  </si>
  <si>
    <t>499.26M</t>
  </si>
  <si>
    <t>496.26M</t>
  </si>
  <si>
    <t>463.46M</t>
  </si>
  <si>
    <t>471.68M</t>
  </si>
  <si>
    <t>487.88M</t>
  </si>
  <si>
    <t>516.44M</t>
  </si>
  <si>
    <t>499.9M</t>
  </si>
  <si>
    <t>518.6M</t>
  </si>
  <si>
    <t>538.7M</t>
  </si>
  <si>
    <t>471.7M</t>
  </si>
  <si>
    <t>487.9M</t>
  </si>
  <si>
    <t>516.4M</t>
  </si>
  <si>
    <t>434.1M</t>
  </si>
  <si>
    <t>453.6M</t>
  </si>
  <si>
    <t>492.0M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</si>
</sst>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164" formatCode="_([$$-409]* #,##0.00_);_([$$-409]* \(#,##0.00\);_([$$-409]* &quot;-&quot;??_);_(@_)"/>
    <numFmt numFmtId="165" formatCode="_([$$-409]* #,##0_);_([$$-409]* \(#,##0\);_([$$-409]* &quot;-&quot;_);_(@_)"/>
  </numFmts>
  <fonts count="21" x14ac:knownFonts="1">
    <font>
      <sz val="12"/>
      <color theme="1"/>
      <name val="Aptos Narrow"/>
      <family val="2"/>
      <scheme val="minor"/>
    </font>
    <font>
      <sz val="10"/>
      <color theme="1"/>
      <name val="Aptos Narrow"/>
      <family val="2"/>
      <scheme val="minor"/>
    </font>
    <font>
      <b/>
      <sz val="10"/>
      <color theme="1"/>
      <name val="Aptos Narrow"/>
      <family val="2"/>
      <scheme val="minor"/>
    </font>
    <font>
      <u/>
      <sz val="12"/>
      <color theme="10"/>
      <name val="Aptos Narrow"/>
      <family val="2"/>
      <scheme val="minor"/>
    </font>
    <font>
      <b/>
      <sz val="14"/>
      <color theme="1"/>
      <name val="Aptos Narrow"/>
      <scheme val="minor"/>
    </font>
    <font>
      <sz val="12"/>
      <color rgb="FF000000"/>
      <name val="Aptos Narrow"/>
      <family val="2"/>
      <scheme val="minor"/>
    </font>
    <font>
      <sz val="12"/>
      <color theme="1"/>
      <name val="Aptos Narrow"/>
      <scheme val="minor"/>
    </font>
    <font>
      <b/>
      <sz val="12"/>
      <color theme="1"/>
      <name val="Aptos Narrow"/>
      <scheme val="minor"/>
    </font>
    <font>
      <b/>
      <sz val="12"/>
      <color theme="0"/>
      <name val="Aptos Narrow"/>
      <family val="2"/>
      <scheme val="minor"/>
    </font>
    <font>
      <sz val="11"/>
      <color theme="1"/>
      <name val="Aptos Narrow"/>
      <scheme val="minor"/>
    </font>
    <font>
      <sz val="11"/>
      <color theme="1"/>
      <name val="Aptos Narrow"/>
      <family val="2"/>
      <scheme val="minor"/>
    </font>
    <font>
      <b/>
      <sz val="12"/>
      <color theme="1"/>
      <name val="Aptos Narrow"/>
      <family val="2"/>
      <scheme val="minor"/>
    </font>
    <font>
      <b/>
      <sz val="8"/>
      <color theme="1"/>
      <name val="Aptos Narrow"/>
      <family val="2"/>
      <scheme val="minor"/>
    </font>
    <font>
      <sz val="10"/>
      <color theme="1"/>
      <name val="Aptos Narrow"/>
      <scheme val="minor"/>
    </font>
    <font>
      <b/>
      <sz val="11"/>
      <color theme="1"/>
      <name val="Aptos Narrow"/>
      <scheme val="minor"/>
    </font>
    <font>
      <b/>
      <sz val="10"/>
      <color theme="1"/>
      <name val="Aptos Narrow"/>
      <scheme val="minor"/>
    </font>
    <font>
      <b/>
      <sz val="11"/>
      <color rgb="FF000000"/>
      <name val="Aptos Narrow"/>
      <scheme val="minor"/>
    </font>
    <font>
      <sz val="10"/>
      <color rgb="FF000000"/>
      <name val="Aptos Narrow"/>
      <family val="2"/>
      <scheme val="minor"/>
    </font>
    <font>
      <sz val="10"/>
      <color rgb="FF000000"/>
      <name val="Aptos Narrow"/>
      <scheme val="minor"/>
    </font>
    <font>
      <sz val="12"/>
      <color theme="0"/>
      <name val="Aptos Narrow"/>
      <family val="2"/>
      <scheme val="minor"/>
    </font>
    <font>
      <sz val="12"/>
      <color theme="0"/>
      <name val="Aptos Narrow (Body)"/>
    </font>
  </fonts>
  <fills count="6">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9"/>
        <bgColor indexed="64"/>
      </patternFill>
    </fill>
    <fill>
      <patternFill patternType="solid">
        <fgColor theme="4"/>
        <bgColor theme="4"/>
      </patternFill>
    </fill>
  </fills>
  <borders count="2">
    <border>
      <left/>
      <right/>
      <top/>
      <bottom/>
      <diagonal/>
    </border>
    <border>
      <left/>
      <right/>
      <top style="thin">
        <color theme="4"/>
      </top>
      <bottom/>
      <diagonal/>
    </border>
  </borders>
  <cellStyleXfs count="2">
    <xf numFmtId="0" fontId="0" fillId="0" borderId="0"/>
    <xf numFmtId="0" fontId="3" fillId="0" borderId="0" applyNumberFormat="0" applyFill="0" applyBorder="0" applyAlignment="0" applyProtection="0"/>
  </cellStyleXfs>
  <cellXfs count="81">
    <xf numFmtId="0" fontId="0" fillId="0" borderId="0" xfId="0"/>
    <xf numFmtId="0" fontId="2"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3" fontId="1" fillId="0" borderId="0" xfId="0" applyNumberFormat="1" applyFont="1" applyAlignment="1">
      <alignment vertical="center" wrapText="1"/>
    </xf>
    <xf numFmtId="10" fontId="1" fillId="0" borderId="0" xfId="0" applyNumberFormat="1" applyFont="1" applyAlignment="1">
      <alignment vertical="center" wrapText="1"/>
    </xf>
    <xf numFmtId="0" fontId="0" fillId="2" borderId="0" xfId="0" applyFill="1"/>
    <xf numFmtId="0" fontId="4" fillId="0" borderId="0" xfId="0" applyFont="1"/>
    <xf numFmtId="0" fontId="0" fillId="3" borderId="0" xfId="0" applyFill="1"/>
    <xf numFmtId="0" fontId="6" fillId="0" borderId="0" xfId="0" applyFont="1"/>
    <xf numFmtId="0" fontId="7" fillId="0" borderId="0" xfId="0" applyFont="1"/>
    <xf numFmtId="0" fontId="0" fillId="4" borderId="0" xfId="0" applyFill="1"/>
    <xf numFmtId="0" fontId="3" fillId="0" borderId="0" xfId="1" applyAlignment="1">
      <alignment vertical="center" wrapText="1"/>
    </xf>
    <xf numFmtId="10" fontId="0" fillId="0" borderId="0" xfId="0" applyNumberFormat="1"/>
    <xf numFmtId="0" fontId="7" fillId="2" borderId="0" xfId="0" applyFont="1" applyFill="1"/>
    <xf numFmtId="0" fontId="4" fillId="2" borderId="0" xfId="0" applyFont="1" applyFill="1"/>
    <xf numFmtId="15" fontId="1" fillId="0" borderId="0" xfId="0" applyNumberFormat="1" applyFont="1" applyAlignment="1">
      <alignment vertical="center" wrapText="1"/>
    </xf>
    <xf numFmtId="8" fontId="1" fillId="0" borderId="0" xfId="0" applyNumberFormat="1" applyFont="1" applyAlignment="1">
      <alignment vertical="center" wrapText="1"/>
    </xf>
    <xf numFmtId="0" fontId="4" fillId="0" borderId="0" xfId="0" applyFont="1" applyAlignment="1">
      <alignment vertical="center" wrapText="1"/>
    </xf>
    <xf numFmtId="6" fontId="1" fillId="0" borderId="0" xfId="0" applyNumberFormat="1" applyFont="1" applyAlignment="1">
      <alignment vertical="center" wrapText="1"/>
    </xf>
    <xf numFmtId="15" fontId="2" fillId="0" borderId="0" xfId="0" applyNumberFormat="1" applyFont="1" applyAlignment="1">
      <alignment horizontal="center" vertical="center" wrapText="1"/>
    </xf>
    <xf numFmtId="8" fontId="0" fillId="0" borderId="0" xfId="0" applyNumberFormat="1"/>
    <xf numFmtId="0" fontId="1" fillId="2" borderId="0" xfId="0" applyFont="1" applyFill="1" applyAlignment="1">
      <alignment vertical="center" wrapText="1"/>
    </xf>
    <xf numFmtId="8" fontId="0" fillId="2" borderId="0" xfId="0" applyNumberFormat="1" applyFill="1"/>
    <xf numFmtId="6" fontId="0" fillId="2" borderId="0" xfId="0" applyNumberFormat="1" applyFill="1"/>
    <xf numFmtId="0" fontId="2" fillId="2" borderId="0" xfId="0" applyFont="1" applyFill="1" applyAlignment="1">
      <alignment horizontal="center" vertical="center" wrapText="1"/>
    </xf>
    <xf numFmtId="10" fontId="0" fillId="2" borderId="0" xfId="0" applyNumberFormat="1" applyFill="1"/>
    <xf numFmtId="0" fontId="5" fillId="0" borderId="0" xfId="0" applyFont="1"/>
    <xf numFmtId="0" fontId="5" fillId="2" borderId="0" xfId="0" applyFont="1" applyFill="1"/>
    <xf numFmtId="164" fontId="0" fillId="0" borderId="0" xfId="0" applyNumberFormat="1"/>
    <xf numFmtId="165" fontId="0" fillId="0" borderId="0" xfId="0" applyNumberFormat="1"/>
    <xf numFmtId="0" fontId="10" fillId="0" borderId="0" xfId="0" applyFont="1"/>
    <xf numFmtId="0" fontId="10" fillId="2" borderId="0" xfId="0" applyFont="1" applyFill="1"/>
    <xf numFmtId="3" fontId="10" fillId="2" borderId="0" xfId="0" applyNumberFormat="1" applyFont="1" applyFill="1"/>
    <xf numFmtId="0" fontId="10" fillId="2" borderId="0" xfId="0" applyFont="1" applyFill="1" applyAlignment="1">
      <alignment vertical="center" wrapText="1"/>
    </xf>
    <xf numFmtId="0" fontId="8" fillId="5" borderId="0" xfId="0" applyFont="1" applyFill="1"/>
    <xf numFmtId="0" fontId="0" fillId="0" borderId="1" xfId="0" applyBorder="1"/>
    <xf numFmtId="2" fontId="0" fillId="0" borderId="0" xfId="0" applyNumberFormat="1"/>
    <xf numFmtId="0" fontId="9" fillId="3" borderId="0" xfId="0" applyFont="1" applyFill="1"/>
    <xf numFmtId="0" fontId="11" fillId="0" borderId="0" xfId="0" applyFont="1"/>
    <xf numFmtId="0" fontId="12" fillId="0" borderId="0" xfId="0" applyFont="1" applyAlignment="1">
      <alignment horizontal="center" vertical="center" wrapText="1"/>
    </xf>
    <xf numFmtId="16" fontId="12" fillId="0" borderId="0" xfId="0" applyNumberFormat="1" applyFont="1" applyAlignment="1">
      <alignment horizontal="center" vertical="center" wrapText="1"/>
    </xf>
    <xf numFmtId="0" fontId="1" fillId="0" borderId="0" xfId="0" applyFont="1" applyAlignment="1">
      <alignment vertical="center"/>
    </xf>
    <xf numFmtId="14" fontId="3" fillId="0" borderId="0" xfId="1" applyNumberFormat="1" applyAlignment="1">
      <alignment vertical="center" wrapText="1"/>
    </xf>
    <xf numFmtId="0" fontId="2" fillId="0" borderId="0" xfId="0" applyFont="1" applyAlignment="1">
      <alignment vertical="center"/>
    </xf>
    <xf numFmtId="0" fontId="2" fillId="0" borderId="0" xfId="0" applyFont="1" applyAlignment="1">
      <alignment vertical="center" wrapText="1"/>
    </xf>
    <xf numFmtId="0" fontId="1" fillId="2" borderId="0" xfId="0" applyFont="1" applyFill="1" applyAlignment="1">
      <alignment vertical="center"/>
    </xf>
    <xf numFmtId="0" fontId="9" fillId="2" borderId="0" xfId="0" applyFont="1" applyFill="1"/>
    <xf numFmtId="0" fontId="9" fillId="2" borderId="0" xfId="0" applyFont="1" applyFill="1" applyAlignment="1">
      <alignment vertical="center" wrapText="1"/>
    </xf>
    <xf numFmtId="0" fontId="11" fillId="2" borderId="0" xfId="0" applyFont="1" applyFill="1"/>
    <xf numFmtId="0" fontId="1" fillId="0" borderId="0" xfId="0" applyFont="1"/>
    <xf numFmtId="0" fontId="13" fillId="0" borderId="0" xfId="0" applyFont="1"/>
    <xf numFmtId="0" fontId="13" fillId="0" borderId="0" xfId="0" applyFont="1" applyAlignment="1">
      <alignment vertical="center" wrapText="1"/>
    </xf>
    <xf numFmtId="0" fontId="14" fillId="0" borderId="0" xfId="0" applyFont="1"/>
    <xf numFmtId="0" fontId="14" fillId="0" borderId="0" xfId="0" applyFont="1" applyAlignment="1">
      <alignment vertical="center" wrapText="1"/>
    </xf>
    <xf numFmtId="0" fontId="13" fillId="2" borderId="0" xfId="0" applyFont="1" applyFill="1"/>
    <xf numFmtId="0" fontId="15" fillId="2" borderId="0" xfId="0" applyFont="1" applyFill="1"/>
    <xf numFmtId="0" fontId="13" fillId="2" borderId="0" xfId="0" applyFont="1" applyFill="1" applyAlignment="1">
      <alignment vertical="center" wrapText="1"/>
    </xf>
    <xf numFmtId="10" fontId="13" fillId="0" borderId="0" xfId="0" applyNumberFormat="1" applyFont="1"/>
    <xf numFmtId="10" fontId="13" fillId="2" borderId="0" xfId="0" applyNumberFormat="1" applyFont="1" applyFill="1"/>
    <xf numFmtId="10" fontId="13" fillId="2" borderId="0" xfId="0" applyNumberFormat="1" applyFont="1" applyFill="1" applyAlignment="1">
      <alignment vertical="center"/>
    </xf>
    <xf numFmtId="10" fontId="1" fillId="0" borderId="0" xfId="0" applyNumberFormat="1" applyFont="1"/>
    <xf numFmtId="0" fontId="1" fillId="2" borderId="0" xfId="0" applyFont="1" applyFill="1"/>
    <xf numFmtId="1" fontId="0" fillId="0" borderId="0" xfId="0" applyNumberFormat="1"/>
    <xf numFmtId="164" fontId="0" fillId="0" borderId="0" xfId="0" applyNumberFormat="1">
      <extLst>
        <ext xmlns:xfpb="http://schemas.microsoft.com/office/spreadsheetml/2022/featurepropertybag" uri="{C7286773-470A-42A8-94C5-96B5CB345126}">
          <xfpb:xfComplement i="0"/>
        </ext>
      </extLst>
    </xf>
    <xf numFmtId="0" fontId="1" fillId="4" borderId="0" xfId="0" applyFont="1" applyFill="1"/>
    <xf numFmtId="10" fontId="1" fillId="2" borderId="0" xfId="0" applyNumberFormat="1" applyFont="1" applyFill="1"/>
    <xf numFmtId="0" fontId="16" fillId="0" borderId="0" xfId="0" applyFont="1"/>
    <xf numFmtId="0" fontId="17" fillId="0" borderId="0" xfId="0" applyFont="1" applyAlignment="1">
      <alignment vertical="center"/>
    </xf>
    <xf numFmtId="0" fontId="18" fillId="0" borderId="0" xfId="0" applyFont="1"/>
    <xf numFmtId="0" fontId="9" fillId="0" borderId="0" xfId="0" applyFont="1"/>
    <xf numFmtId="0" fontId="20" fillId="2" borderId="0" xfId="0" applyFont="1" applyFill="1" applyAlignment="1">
      <alignment vertical="center"/>
    </xf>
    <xf numFmtId="10" fontId="19" fillId="2" borderId="0" xfId="0" applyNumberFormat="1" applyFont="1" applyFill="1" applyAlignment="1">
      <alignment horizontal="left" vertical="top"/>
    </xf>
    <xf numFmtId="10" fontId="19" fillId="2" borderId="0" xfId="0" applyNumberFormat="1" applyFont="1" applyFill="1" applyAlignment="1">
      <alignment horizontal="left" vertical="center"/>
    </xf>
    <xf numFmtId="9" fontId="1" fillId="0" borderId="0" xfId="0" applyNumberFormat="1" applyFont="1" applyAlignment="1">
      <alignment vertical="center" wrapText="1"/>
    </xf>
    <xf numFmtId="15" fontId="1" fillId="0" borderId="0" xfId="0" applyNumberFormat="1" applyFont="1" applyAlignment="1">
      <alignment vertical="center" wrapText="1"/>
    </xf>
    <xf numFmtId="0" fontId="1" fillId="0" borderId="0" xfId="0" applyFont="1" applyAlignment="1">
      <alignment vertical="center" wrapText="1"/>
    </xf>
    <xf numFmtId="10" fontId="1" fillId="0" borderId="0" xfId="0" applyNumberFormat="1" applyFont="1" applyAlignment="1">
      <alignment vertical="center" wrapText="1"/>
    </xf>
    <xf numFmtId="0" fontId="0" fillId="0" borderId="0" xfId="0" applyAlignment="1">
      <alignment vertical="center" wrapText="1"/>
    </xf>
    <xf numFmtId="0" fontId="12" fillId="0" borderId="0" xfId="0" applyFont="1" applyAlignment="1">
      <alignment horizontal="center" vertical="center" wrapText="1"/>
    </xf>
    <xf numFmtId="20" fontId="1" fillId="0" borderId="0" xfId="0" applyNumberFormat="1" applyFont="1" applyAlignment="1">
      <alignment vertical="center" wrapText="1"/>
    </xf>
  </cellXfs>
  <cellStyles count="2">
    <cellStyle name="Hyperlink" xfId="1" builtinId="8"/>
    <cellStyle name="Normal" xfId="0" builtinId="0"/>
  </cellStyles>
  <dxfs count="55">
    <dxf>
      <font>
        <color rgb="FFFF0000"/>
      </font>
    </dxf>
    <dxf>
      <fill>
        <patternFill>
          <bgColor rgb="FF55BE7D"/>
        </patternFill>
      </fill>
    </dxf>
    <dxf>
      <fill>
        <patternFill>
          <bgColor rgb="FF55BE7D"/>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numFmt numFmtId="164" formatCode="_([$$-409]* #,##0.00_);_([$$-409]* \(#,##0.00\);_([$$-409]* &quot;-&quot;??_);_(@_)"/>
      <extLst>
        <ext xmlns:xfpb="http://schemas.microsoft.com/office/spreadsheetml/2022/featurepropertybag" uri="{0417FA29-78FA-4A13-93AC-8FF0FAFDF519}">
          <xfpb:DXFComplement i="0"/>
        </ext>
      </extLst>
    </dxf>
    <dxf>
      <numFmt numFmtId="164" formatCode="_([$$-409]* #,##0.00_);_([$$-409]* \(#,##0.00\);_([$$-409]* &quot;-&quot;??_);_(@_)"/>
    </dxf>
    <dxf>
      <numFmt numFmtId="0" formatCode="General"/>
    </dxf>
    <dxf>
      <numFmt numFmtId="164" formatCode="_([$$-409]* #,##0.00_);_([$$-409]* \(#,##0.00\);_([$$-409]* &quot;-&quot;??_);_(@_)"/>
    </dxf>
    <dxf>
      <numFmt numFmtId="165" formatCode="_([$$-409]* #,##0_);_([$$-409]* \(#,##0\);_([$$-409]* &quot;-&quot;_);_(@_)"/>
    </dxf>
    <dxf>
      <numFmt numFmtId="164" formatCode="_([$$-409]* #,##0.00_);_([$$-409]* \(#,##0.00\);_([$$-409]* &quot;-&quot;??_);_(@_)"/>
    </dxf>
    <dxf>
      <numFmt numFmtId="164" formatCode="_([$$-409]* #,##0.00_);_([$$-409]* \(#,##0.00\);_([$$-409]* &quot;-&quot;??_);_(@_)"/>
    </dxf>
    <dxf>
      <numFmt numFmtId="14" formatCode="0.00%"/>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numFmt numFmtId="165" formatCode="_([$$-409]* #,##0_);_([$$-409]* \(#,##0\);_([$$-409]* &quot;-&quot;_);_(@_)"/>
    </dxf>
    <dxf>
      <numFmt numFmtId="164" formatCode="_([$$-409]* #,##0.00_);_([$$-409]* \(#,##0.00\);_([$$-409]* &quot;-&quot;??_);_(@_)"/>
    </dxf>
    <dxf>
      <numFmt numFmtId="164" formatCode="_([$$-409]* #,##0.00_);_([$$-409]* \(#,##0.00\);_([$$-409]* &quot;-&quot;??_);_(@_)"/>
    </dxf>
    <dxf>
      <numFmt numFmtId="14" formatCode="0.00%"/>
    </dxf>
    <dxf>
      <numFmt numFmtId="164" formatCode="_([$$-409]* #,##0.00_);_([$$-409]* \(#,##0.00\);_([$$-409]* &quot;-&quot;??_);_(@_)"/>
    </dxf>
    <dxf>
      <numFmt numFmtId="164" formatCode="_([$$-409]* #,##0.00_);_([$$-409]* \(#,##0.00\);_([$$-409]* &quot;-&quot;??_);_(@_)"/>
    </dxf>
    <dxf>
      <numFmt numFmtId="164" formatCode="_([$$-409]* #,##0.00_);_([$$-409]* \(#,##0.00\);_([$$-409]* &quot;-&quot;??_);_(@_)"/>
    </dxf>
    <dxf>
      <numFmt numFmtId="164" formatCode="_([$$-409]* #,##0.00_);_([$$-409]* \(#,##0.00\);_([$$-409]* &quot;-&quot;??_);_(@_)"/>
    </dxf>
    <dxf>
      <font>
        <b val="0"/>
        <i val="0"/>
        <strike val="0"/>
        <condense val="0"/>
        <extend val="0"/>
        <outline val="0"/>
        <shadow val="0"/>
        <u val="none"/>
        <vertAlign val="baseline"/>
        <sz val="12"/>
        <color theme="1"/>
        <name val="Aptos Narrow"/>
        <family val="2"/>
        <scheme val="minor"/>
      </font>
      <border diagonalUp="0" diagonalDown="0">
        <left/>
        <right/>
        <top style="thin">
          <color theme="4"/>
        </top>
        <bottom/>
        <vertical/>
        <horizontal/>
      </border>
    </dxf>
    <dxf>
      <border outline="0">
        <left style="thin">
          <color theme="4"/>
        </left>
        <top style="thin">
          <color theme="4"/>
        </top>
      </border>
    </dxf>
    <dxf>
      <font>
        <b/>
        <i val="0"/>
        <strike val="0"/>
        <condense val="0"/>
        <extend val="0"/>
        <outline val="0"/>
        <shadow val="0"/>
        <u val="none"/>
        <vertAlign val="baseline"/>
        <sz val="12"/>
        <color theme="0"/>
        <name val="Aptos Narrow"/>
        <family val="2"/>
        <scheme val="minor"/>
      </font>
      <fill>
        <patternFill patternType="solid">
          <fgColor theme="4"/>
          <bgColor theme="4"/>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55BE7D"/>
      <color rgb="FF53B576"/>
      <color rgb="FF4CA569"/>
      <color rgb="FF55A55C"/>
      <color rgb="FF63AF83"/>
      <color rgb="FF5BA075"/>
      <color rgb="FF53B07F"/>
      <color rgb="FF4DA273"/>
      <color rgb="FF2C9A5D"/>
      <color rgb="FF388F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17/06/relationships/rdRichValueTypes" Target="richData/rdRichValueTyp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17/06/relationships/rdSupportingPropertyBagStructure" Target="richData/rdsupportingpropertybagstructure.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17/06/relationships/richStyles" Target="richData/richStyles.xml"/><Relationship Id="rId10" Type="http://schemas.openxmlformats.org/officeDocument/2006/relationships/styles" Target="styles.xml"/><Relationship Id="rId19"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HData!$C$8:$AP$8</c:f>
              <c:numCache>
                <c:formatCode>General</c:formatCode>
                <c:ptCount val="40"/>
                <c:pt idx="0">
                  <c:v>463.5</c:v>
                </c:pt>
                <c:pt idx="1">
                  <c:v>496.3</c:v>
                </c:pt>
                <c:pt idx="2">
                  <c:v>499.3</c:v>
                </c:pt>
                <c:pt idx="3">
                  <c:v>510.8</c:v>
                </c:pt>
                <c:pt idx="4">
                  <c:v>480.7</c:v>
                </c:pt>
                <c:pt idx="5">
                  <c:v>486.3</c:v>
                </c:pt>
                <c:pt idx="6">
                  <c:v>497.6</c:v>
                </c:pt>
                <c:pt idx="7">
                  <c:v>503.8</c:v>
                </c:pt>
                <c:pt idx="8">
                  <c:v>513.6</c:v>
                </c:pt>
                <c:pt idx="9">
                  <c:v>529.9</c:v>
                </c:pt>
                <c:pt idx="10">
                  <c:v>579.79999999999995</c:v>
                </c:pt>
                <c:pt idx="11">
                  <c:v>575.9</c:v>
                </c:pt>
                <c:pt idx="12">
                  <c:v>565.70000000000005</c:v>
                </c:pt>
                <c:pt idx="13">
                  <c:v>537.20000000000005</c:v>
                </c:pt>
                <c:pt idx="14">
                  <c:v>454.6</c:v>
                </c:pt>
                <c:pt idx="15">
                  <c:v>377.8</c:v>
                </c:pt>
                <c:pt idx="16">
                  <c:v>360.4</c:v>
                </c:pt>
                <c:pt idx="17">
                  <c:v>350.7</c:v>
                </c:pt>
                <c:pt idx="18">
                  <c:v>313.8</c:v>
                </c:pt>
                <c:pt idx="19">
                  <c:v>268.7</c:v>
                </c:pt>
                <c:pt idx="20">
                  <c:v>231.2</c:v>
                </c:pt>
                <c:pt idx="21">
                  <c:v>175.6</c:v>
                </c:pt>
                <c:pt idx="22">
                  <c:v>147.80000000000001</c:v>
                </c:pt>
                <c:pt idx="23">
                  <c:v>180.4</c:v>
                </c:pt>
                <c:pt idx="24">
                  <c:v>215.3</c:v>
                </c:pt>
                <c:pt idx="25">
                  <c:v>151.30000000000001</c:v>
                </c:pt>
                <c:pt idx="26">
                  <c:v>95.49</c:v>
                </c:pt>
                <c:pt idx="27">
                  <c:v>52.55</c:v>
                </c:pt>
              </c:numCache>
            </c:numRef>
          </c:val>
          <c:smooth val="0"/>
          <c:extLst>
            <c:ext xmlns:c16="http://schemas.microsoft.com/office/drawing/2014/chart" uri="{C3380CC4-5D6E-409C-BE32-E72D297353CC}">
              <c16:uniqueId val="{00000000-E7EA-8048-A061-08202CAAE554}"/>
            </c:ext>
          </c:extLst>
        </c:ser>
        <c:dLbls>
          <c:showLegendKey val="0"/>
          <c:showVal val="0"/>
          <c:showCatName val="0"/>
          <c:showSerName val="0"/>
          <c:showPercent val="0"/>
          <c:showBubbleSize val="0"/>
        </c:dLbls>
        <c:smooth val="0"/>
        <c:axId val="717811264"/>
        <c:axId val="264321776"/>
      </c:lineChart>
      <c:catAx>
        <c:axId val="7178112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4321776"/>
        <c:crosses val="autoZero"/>
        <c:auto val="1"/>
        <c:lblAlgn val="ctr"/>
        <c:lblOffset val="100"/>
        <c:noMultiLvlLbl val="0"/>
      </c:catAx>
      <c:valAx>
        <c:axId val="264321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78112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HBook!$H$26:$V$26</c:f>
              <c:numCache>
                <c:formatCode>General</c:formatCode>
                <c:ptCount val="15"/>
                <c:pt idx="0">
                  <c:v>-22139</c:v>
                </c:pt>
                <c:pt idx="1">
                  <c:v>-1893</c:v>
                </c:pt>
                <c:pt idx="2">
                  <c:v>-287.2</c:v>
                </c:pt>
                <c:pt idx="3">
                  <c:v>-2535</c:v>
                </c:pt>
                <c:pt idx="4">
                  <c:v>-1075</c:v>
                </c:pt>
                <c:pt idx="5">
                  <c:v>50.69</c:v>
                </c:pt>
                <c:pt idx="6">
                  <c:v>3.78</c:v>
                </c:pt>
                <c:pt idx="7">
                  <c:v>74.34</c:v>
                </c:pt>
                <c:pt idx="8">
                  <c:v>108.3</c:v>
                </c:pt>
                <c:pt idx="9">
                  <c:v>136.6</c:v>
                </c:pt>
                <c:pt idx="10">
                  <c:v>-6.2</c:v>
                </c:pt>
                <c:pt idx="11">
                  <c:v>13.45</c:v>
                </c:pt>
                <c:pt idx="12">
                  <c:v>10.62</c:v>
                </c:pt>
                <c:pt idx="13">
                  <c:v>9.74</c:v>
                </c:pt>
                <c:pt idx="14">
                  <c:v>57.35</c:v>
                </c:pt>
              </c:numCache>
            </c:numRef>
          </c:val>
          <c:smooth val="0"/>
          <c:extLst>
            <c:ext xmlns:c16="http://schemas.microsoft.com/office/drawing/2014/chart" uri="{C3380CC4-5D6E-409C-BE32-E72D297353CC}">
              <c16:uniqueId val="{00000000-0E72-7B48-9C1F-76EAFBCC0F65}"/>
            </c:ext>
          </c:extLst>
        </c:ser>
        <c:dLbls>
          <c:showLegendKey val="0"/>
          <c:showVal val="0"/>
          <c:showCatName val="0"/>
          <c:showSerName val="0"/>
          <c:showPercent val="0"/>
          <c:showBubbleSize val="0"/>
        </c:dLbls>
        <c:smooth val="0"/>
        <c:axId val="1769236784"/>
        <c:axId val="1769684464"/>
      </c:lineChart>
      <c:catAx>
        <c:axId val="17692367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684464"/>
        <c:crosses val="autoZero"/>
        <c:auto val="1"/>
        <c:lblAlgn val="ctr"/>
        <c:lblOffset val="100"/>
        <c:noMultiLvlLbl val="0"/>
      </c:catAx>
      <c:valAx>
        <c:axId val="176968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923678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27</xdr:col>
      <xdr:colOff>289674</xdr:colOff>
      <xdr:row>4</xdr:row>
      <xdr:rowOff>33962</xdr:rowOff>
    </xdr:from>
    <xdr:to>
      <xdr:col>34</xdr:col>
      <xdr:colOff>295382</xdr:colOff>
      <xdr:row>19</xdr:row>
      <xdr:rowOff>165814</xdr:rowOff>
    </xdr:to>
    <xdr:graphicFrame macro="">
      <xdr:nvGraphicFramePr>
        <xdr:cNvPr id="2" name="Chart 1">
          <a:extLst>
            <a:ext uri="{FF2B5EF4-FFF2-40B4-BE49-F238E27FC236}">
              <a16:creationId xmlns:a16="http://schemas.microsoft.com/office/drawing/2014/main" id="{2EE91DE9-C46E-3036-08CA-8413417AD7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307991</xdr:colOff>
      <xdr:row>24</xdr:row>
      <xdr:rowOff>147320</xdr:rowOff>
    </xdr:from>
    <xdr:to>
      <xdr:col>34</xdr:col>
      <xdr:colOff>299720</xdr:colOff>
      <xdr:row>39</xdr:row>
      <xdr:rowOff>1418</xdr:rowOff>
    </xdr:to>
    <xdr:graphicFrame macro="">
      <xdr:nvGraphicFramePr>
        <xdr:cNvPr id="3" name="Chart 2">
          <a:extLst>
            <a:ext uri="{FF2B5EF4-FFF2-40B4-BE49-F238E27FC236}">
              <a16:creationId xmlns:a16="http://schemas.microsoft.com/office/drawing/2014/main" id="{3B656875-72DD-DDD1-8782-3084423D43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bag type="DXFComplements" extRef="D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9" backgroundRefresh="0" growShrinkType="overwriteClear" removeDataOnSave="1" connectionId="55" xr16:uid="{EED4E637-3626-8148-824D-1D1A4E70440D}"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8" backgroundRefresh="0" growShrinkType="overwriteClear" removeDataOnSave="1" connectionId="59" xr16:uid="{49C74AD5-68E0-B64F-9CC1-26A17DFEF31A}"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09" backgroundRefresh="0" growShrinkType="overwriteClear" removeDataOnSave="1" connectionId="15" xr16:uid="{12E95B03-EA16-FC4B-8128-8401AB5DEEDE}"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08" backgroundRefresh="0" growShrinkType="overwriteClear" removeDataOnSave="1" connectionId="14" xr16:uid="{EF1569C7-8E75-174F-A54A-D2704B2F9F62}"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3" backgroundRefresh="0" growShrinkType="overwriteClear" removeDataOnSave="1" connectionId="58" xr16:uid="{68D99790-D7BF-5F4D-871C-D9DE423C8597}"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2" backgroundRefresh="0" growShrinkType="overwriteClear" removeDataOnSave="1" connectionId="57" xr16:uid="{C758C9EA-C9CF-8549-A42E-D529303ADA52}"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3" backgroundRefresh="0" growShrinkType="overwriteClear" removeDataOnSave="1" connectionId="9" xr16:uid="{480281B1-1DFC-2248-862A-2F7A9FAE1014}"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backgroundRefresh="0" growShrinkType="overwriteClear" removeDataOnSave="1" connectionId="8" xr16:uid="{B179F001-FA19-0342-8019-7078CEEE2C99}"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growShrinkType="overwriteClear" removeDataOnSave="1" connectionId="7" xr16:uid="{E1CB1599-AFA8-AE4B-8C17-20652FA91D77}"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overwriteClear" removeDataOnSave="1" connectionId="37" xr16:uid="{9D03577C-C942-C147-A132-513A8D075AEA}"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84" backgroundRefresh="0" growShrinkType="overwriteClear" removeDataOnSave="1" connectionId="53" xr16:uid="{62D77E9E-B65E-F64B-9E5F-3821E6A395C5}"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83" backgroundRefresh="0" growShrinkType="overwriteClear" removeDataOnSave="1" connectionId="52" xr16:uid="{5FE9FE04-D745-354F-8954-0B10F96D052C}"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47" backgroundRefresh="0" growShrinkType="overwriteClear" removeDataOnSave="1" connectionId="51" xr16:uid="{5334630B-02BF-8A43-A5D0-8A780CD392DF}"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46" backgroundRefresh="0" growShrinkType="overwriteClear" removeDataOnSave="1" connectionId="44" xr16:uid="{3459CA17-6317-BC41-8E1F-3E8951632CCC}" autoFormatId="16" applyNumberFormats="0" applyBorderFormats="0" applyFontFormats="1" applyPatternFormats="1" applyAlignmentFormats="0" applyWidthHeightFormats="0"/>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63">
  <rv s="0">
    <v>https://www.bing.com/financeapi/forcetrigger?t=a23rm7&amp;q=XNYS%3aSTZ&amp;form=skydnc</v>
    <v>Learn more on Bing</v>
  </rv>
  <rv s="1">
    <v>0</v>
    <v>CONSTELLATION BRANDS, INC. (XNYS:STZ)</v>
    <v>2</v>
    <v>3</v>
    <v>Finance</v>
    <v>4</v>
    <v>en-US</v>
    <v>a23rm7</v>
    <v>268435456</v>
    <v>1</v>
    <v>Powered by Refinitiv</v>
    <v>261.06</v>
    <v>159.35</v>
    <v>0.67149999999999999</v>
    <v>-1.99</v>
    <v>-1.1606E-2</v>
    <v>USD</v>
    <v>Constellation Brands, Inc. is a producer and marketer of beer, wine, and spirits with operations in the United States, Mexico, New Zealand, and Italy with brands, such as Corona Extra, Modelo Especial, Robert Mondavi Winery, Kim Crawford, The Prisoner Wine Company, High West, Casa Noble, and Mi CAMPO. Its segments include Beer, Wine and Spirits, and Corporate Operations and Other. In the Beer segment, its portfolio consists of high-end imported beer brands and ABAs. It has a perpetual brand license to produce its Mexican beer portfolio and to import, market, and sell such a portfolio in the United States. In the Wine and Spirits segment, it sells a portfolio that includes higher-end wine brands complemented by certain higher-end spirits brands. Its Corporate Operations and Other segment consists of costs of corporate development, corporate finance, corporate strategy, executive management, growth, human resources, internal audit, investor relations, IT, legal and public relations.</v>
    <v>10600</v>
    <v>New York Stock Exchange</v>
    <v>XNYS</v>
    <v>XNYS</v>
    <v>50 East Broad Street, ROCHESTER, NY, 14614 US</v>
    <v>171.76499999999999</v>
    <v>Beverages</v>
    <v>Stock</v>
    <v>45869.653908726563</v>
    <v>0</v>
    <v>166</v>
    <v>29876442498</v>
    <v>CONSTELLATION BRANDS, INC.</v>
    <v>CONSTELLATION BRANDS, INC.</v>
    <v>168.74</v>
    <v>0</v>
    <v>171.46</v>
    <v>169.47</v>
    <v>176293400</v>
    <v>STZ</v>
    <v>CONSTELLATION BRANDS, INC. (XNYS:STZ)</v>
    <v>682438</v>
    <v>2347270</v>
    <v>1972</v>
  </rv>
  <rv s="2">
    <v>1</v>
  </rv>
  <rv s="0">
    <v>http://en.wikipedia.org/wiki/Public_domain</v>
    <v>Public domain</v>
  </rv>
  <rv s="0">
    <v>https://en.wikipedia.org/wiki/Microsoft</v>
    <v>Wikipedia</v>
  </rv>
  <rv s="3">
    <v>3</v>
    <v>4</v>
  </rv>
  <rv s="4">
    <v>9</v>
    <v>https://www.bing.com/th?id=AMMS_e6e837c7bf3a77408619758b7447855a&amp;qlt=95</v>
    <v>5</v>
    <v>0</v>
    <v>https://www.bing.com/images/search?form=xlimg&amp;q=microsoft</v>
    <v>Image of MICROSOFT CORPORATION</v>
  </rv>
  <rv s="0">
    <v>https://www.bing.com/financeapi/forcetrigger?t=a1xzim&amp;q=XNAS%3aMSFT&amp;form=skydnc</v>
    <v>Learn more on Bing</v>
  </rv>
  <rv s="5">
    <v>5</v>
    <v>MICROSOFT CORPORATION (XNAS:MSFT)</v>
    <v>7</v>
    <v>8</v>
    <v>Finance</v>
    <v>4</v>
    <v>en-US</v>
    <v>a1xzim</v>
    <v>268435456</v>
    <v>1</v>
    <v>Powered by Refinitiv</v>
    <v>555.45000000000005</v>
    <v>344.79</v>
    <v>1.0511999999999999</v>
    <v>22.8</v>
    <v>4.4423999999999998E-2</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555.45000000000005</v>
    <v>6</v>
    <v>Software &amp; IT Services</v>
    <v>Stock</v>
    <v>45869.654024409378</v>
    <v>7</v>
    <v>534.41</v>
    <v>3984140885759</v>
    <v>MICROSOFT CORPORATION</v>
    <v>MICROSOFT CORPORATION</v>
    <v>555</v>
    <v>41.426600000000001</v>
    <v>513.24</v>
    <v>536.04</v>
    <v>7432544000</v>
    <v>MSFT</v>
    <v>MICROSOFT CORPORATION (XNAS:MSFT)</v>
    <v>27709876</v>
    <v>17890146</v>
    <v>1993</v>
  </rv>
  <rv s="2">
    <v>8</v>
  </rv>
  <rv s="0">
    <v>https://www.bing.com/financeapi/forcetrigger?t=a2sxr7&amp;q=OTCM%3aPSIX&amp;form=skydnc</v>
    <v>Learn more on Bing</v>
  </rv>
  <rv s="1">
    <v>0</v>
    <v>POWER SOLUTIONS INTERNATIONAL, INC. (XNAS:PSIX)</v>
    <v>2</v>
    <v>3</v>
    <v>Finance</v>
    <v>4</v>
    <v>en-US</v>
    <v>a2sxr7</v>
    <v>268435456</v>
    <v>1</v>
    <v>Powered by Refinitiv</v>
    <v>100.98520000000001</v>
    <v>9.01</v>
    <v>1.4753000000000001</v>
    <v>5.73</v>
    <v>6.4994999999999997E-2</v>
    <v>USD</v>
    <v>Power Solutions International, Inc. designs, engineers, manufactures, markets and sells a broad range of advanced, emission-certified engines and power systems that are powered by a wide variety of clean, alternative fuels, including natural gas, propane, and biofuels, as well as gasoline and diesel options, within the power systems, industrial and transportation end markets. It develops and delivers complete power systems that are used worldwide in stationary and mobile power generation applications supporting standby, prime, demand response, and microgrid solutions, as well as products and packages supporting the data center markets. The Company’s industrial end market provides engine and battery powertrain solutions to serve applications such as forklifts, agricultural and turf, arbor care, industrial sweepers, aerial lifts, irrigation pumps, ground support, and construction equipment. The Company’s products are primarily used by global original equipment manufacturers (OEMs).</v>
    <v>700</v>
    <v>Nasdaq Stock Market</v>
    <v>XNAS</v>
    <v>XNAS</v>
    <v>201 Mittel Drive, WOOD DALE, IL, 60191 US</v>
    <v>94.49</v>
    <v>Automobiles &amp; Auto Parts</v>
    <v>Stock</v>
    <v>45869.653978506249</v>
    <v>10</v>
    <v>87.01</v>
    <v>2160269003</v>
    <v>POWER SOLUTIONS INTERNATIONAL, INC.</v>
    <v>POWER SOLUTIONS INTERNATIONAL, INC.</v>
    <v>89.39</v>
    <v>26.625599999999999</v>
    <v>88.16</v>
    <v>93.89</v>
    <v>23008510</v>
    <v>PSIX</v>
    <v>POWER SOLUTIONS INTERNATIONAL, INC. (XNAS:PSIX)</v>
    <v>400722</v>
    <v>689937</v>
    <v>2011</v>
  </rv>
  <rv s="2">
    <v>11</v>
  </rv>
  <rv s="0">
    <v>https://www.bing.com/financeapi/forcetrigger?t=a1n977&amp;q=XNYS%3aALB&amp;form=skydnc</v>
    <v>Learn more on Bing</v>
  </rv>
  <rv s="1">
    <v>0</v>
    <v>ALBEMARLE CORPORATION (XNYS:ALB)</v>
    <v>2</v>
    <v>3</v>
    <v>Finance</v>
    <v>4</v>
    <v>en-US</v>
    <v>a1n977</v>
    <v>268435456</v>
    <v>1</v>
    <v>Powered by Refinitiv</v>
    <v>113.91</v>
    <v>49.430300000000003</v>
    <v>1.6404000000000001</v>
    <v>-1.81</v>
    <v>-2.6274000000000002E-2</v>
    <v>USD</v>
    <v>Albemarle Corporation is engaged in transforming essential resources into critical ingredients for mobility, energy, connectivity, and health. The Company’s segments include Energy Storage, Specialties, and Ketjen. The Energy Storage segment develops and manufactures a range of basic lithium compounds, including lithium carbonate, lithium hydroxide, and lithium chloride. Its Specialties business optimizes its portfolio of bromine and highly specialized lithium solutions. Its Specialties business serves a variety of industries, including energy, mobility, connectivity, and health. Specialty products are essential in both internal combustion and electric vehicles, from high-voltage cables and powertrains to airbags and tires. Its Ketjen segment includes clean fuels technologies (CFT), fluidized catalytic cracking (FCC) catalysts and additives, and performance catalyst solutions (PCS). It serves various markets such as grid storage, automotive, aerospace, conventional energy, and others.</v>
    <v>8300</v>
    <v>New York Stock Exchange</v>
    <v>XNYS</v>
    <v>XNYS</v>
    <v>4250 Congress Street, Suite 900, CHARLOTTE, NC, 28209 US</v>
    <v>70.02</v>
    <v>Chemicals</v>
    <v>Stock</v>
    <v>45869.654024478907</v>
    <v>13</v>
    <v>65.293199999999999</v>
    <v>7892693172</v>
    <v>ALBEMARLE CORPORATION</v>
    <v>ALBEMARLE CORPORATION</v>
    <v>69.7</v>
    <v>0</v>
    <v>68.89</v>
    <v>67.08</v>
    <v>117660900</v>
    <v>ALB</v>
    <v>ALBEMARLE CORPORATION (XNYS:ALB)</v>
    <v>2920296</v>
    <v>4911409</v>
    <v>1993</v>
  </rv>
  <rv s="2">
    <v>14</v>
  </rv>
  <rv s="0">
    <v>https://www.bing.com/financeapi/forcetrigger?t=a1yqyc&amp;q=XNAS%3aNSSC&amp;form=skydnc</v>
    <v>Learn more on Bing</v>
  </rv>
  <rv s="1">
    <v>0</v>
    <v>NAPCO SECURITY TECHNOLOGIES, INC. (XNAS:NSSC)</v>
    <v>2</v>
    <v>3</v>
    <v>Finance</v>
    <v>4</v>
    <v>en-US</v>
    <v>a1yqyc</v>
    <v>268435456</v>
    <v>1</v>
    <v>Powered by Refinitiv</v>
    <v>58.09</v>
    <v>19</v>
    <v>1.4165000000000001</v>
    <v>0.04</v>
    <v>1.2920000000000002E-3</v>
    <v>USD</v>
    <v>Napco Security Technologies, Inc. is a manufacturer and designer of high-tech electronic security devices, cellular communication services for intrusion and fire alarm systems, as well as a provider of school safety solutions. It offers a diversified array of security products, encompassing access control systems, door-locking products, intrusion and fire alarm systems and video surveillance products. These products are used for commercial, residential, institutional, industrial and governmental applications, and are sold to independent distributors, dealers and installers of security equipment. It manufactures and markets various products for alarm systems, including automatic communicators, cellular communication devices, control panels, combination control panels/digital communicators and digital keypad systems, fire alarm control panel and area detectors. Its video surveillance systems typically consist of one or more video cameras, a control panel and a video monitor or PC.</v>
    <v>1070</v>
    <v>Nasdaq Stock Market</v>
    <v>XNAS</v>
    <v>XNAS</v>
    <v>333 Bayview Ave, AMITYVILLE, NY, 11701 US</v>
    <v>31.32</v>
    <v>Communications &amp; Networking</v>
    <v>Stock</v>
    <v>45869.653848992966</v>
    <v>16</v>
    <v>30.5</v>
    <v>1104992455</v>
    <v>NAPCO SECURITY TECHNOLOGIES, INC.</v>
    <v>NAPCO SECURITY TECHNOLOGIES, INC.</v>
    <v>30.84</v>
    <v>25.2197</v>
    <v>30.95</v>
    <v>30.99</v>
    <v>35656420</v>
    <v>NSSC</v>
    <v>NAPCO SECURITY TECHNOLOGIES, INC. (XNAS:NSSC)</v>
    <v>66054</v>
    <v>269990</v>
    <v>1971</v>
  </rv>
  <rv s="2">
    <v>17</v>
  </rv>
  <rv s="0">
    <v>https://www.bing.com/financeapi/forcetrigger?t=a1retc&amp;q=XNYS%3aDELL&amp;form=skydnc</v>
    <v>Learn more on Bing</v>
  </rv>
  <rv s="1">
    <v>0</v>
    <v>DELL TECHNOLOGIES INC. (XNYS:DELL)</v>
    <v>2</v>
    <v>3</v>
    <v>Finance</v>
    <v>4</v>
    <v>en-US</v>
    <v>a1retc</v>
    <v>268435456</v>
    <v>1</v>
    <v>Powered by Refinitiv</v>
    <v>147.66</v>
    <v>66.245000000000005</v>
    <v>1.0166999999999999</v>
    <v>0.42</v>
    <v>3.1450000000000002E-3</v>
    <v>USD</v>
    <v>Dell Technologies Inc. is engaged in designing, developing, manufacturing, marketing, selling, and supporting a wide range of comprehensive and integrated solutions, products, and services. The Company operates through two segments: Infrastructure Solutions Group (ISG) and Client Solutions Group (CSG). Its ISG segment enables the Company’s customer’s digital transformation with solutions that address artificial intelligence (AI), machine learning, data analytics, and multi cloud environments. Its comprehensive storage portfolio includes modern and traditional storage solutions, including all-flash arrays, scale-out file, object platforms, hyper-converged infrastructure, and software-defined storage. Its CSG segment offers branded personal computers (PCs) including notebooks, desktops, and workstations and branded peripherals that include displays, docking stations, keyboards, mice, and webcam and audio devices, as well as third-party software and peripherals.</v>
    <v>108000</v>
    <v>New York Stock Exchange</v>
    <v>XNYS</v>
    <v>XNYS</v>
    <v>ONE DELL WAY, ROUND ROCK, TX, 78682 US</v>
    <v>136.13999999999999</v>
    <v>Computers, Phones &amp; Household Electronics</v>
    <v>Stock</v>
    <v>45869.654057928128</v>
    <v>19</v>
    <v>133.28</v>
    <v>90608092532</v>
    <v>DELL TECHNOLOGIES INC.</v>
    <v>DELL TECHNOLOGIES INC.</v>
    <v>135.1</v>
    <v>20.993600000000001</v>
    <v>133.54</v>
    <v>133.96</v>
    <v>676381700</v>
    <v>DELL</v>
    <v>DELL TECHNOLOGIES INC. (XNYS:DELL)</v>
    <v>1340774</v>
    <v>4935760</v>
    <v>2013</v>
  </rv>
  <rv s="2">
    <v>20</v>
  </rv>
  <rv s="0">
    <v>https://www.bing.com/financeapi/forcetrigger?t=a25l52&amp;q=XNYS%3aVST&amp;form=skydnc</v>
    <v>Learn more on Bing</v>
  </rv>
  <rv s="1">
    <v>0</v>
    <v>VISTRA CORP. (XNYS:VST)</v>
    <v>2</v>
    <v>3</v>
    <v>Finance</v>
    <v>4</v>
    <v>en-US</v>
    <v>a25l52</v>
    <v>268435456</v>
    <v>1</v>
    <v>Powered by Refinitiv</v>
    <v>213.04820000000001</v>
    <v>66.5</v>
    <v>1.3118000000000001</v>
    <v>0.42</v>
    <v>2.0280000000000003E-3</v>
    <v>USD</v>
    <v>Vistra Corp. is an integrated retail electricity and power generation company that provides essential resources to customers, businesses, and communities from California to Maine. It operates a reliable power generation fleet of natural gas, nuclear, coal, solar, and battery energy storage facilities while taking an innovative, customer-centric approach to its retail business. Its segments include Retail, Texas, East, West, and Asset Closure. The Retail segment is engaged in retail sales of electricity and natural gas to residential, commercial and industrial customers. The Texas and East segments are engaged in electricity generation, wholesale energy sales and purchases, commodity risk management activities, fuel procurement, and logistics management. The West segment represents results from the CAISO market, including its battery ESS projects at its Moss Landing power plant site. The Asset Closure segment is engaged in the decommissioning and reclamation of retired plants and mines.</v>
    <v>6850</v>
    <v>New York Stock Exchange</v>
    <v>XNYS</v>
    <v>XNYS</v>
    <v>6555 Sierra Drive, IRVING, TX, 75039 US</v>
    <v>213.04820000000001</v>
    <v>Electrical Utilities &amp; IPPs</v>
    <v>Stock</v>
    <v>45869.65400430547</v>
    <v>22</v>
    <v>205.73</v>
    <v>70401189293</v>
    <v>VISTRA CORP.</v>
    <v>VISTRA CORP.</v>
    <v>209.5</v>
    <v>32.682200000000002</v>
    <v>207.05</v>
    <v>207.47</v>
    <v>339331900</v>
    <v>VST</v>
    <v>VISTRA CORP. (XNYS:VST)</v>
    <v>2600284</v>
    <v>4961796</v>
    <v>2016</v>
  </rv>
  <rv s="2">
    <v>23</v>
  </rv>
  <rv s="0">
    <v>https://www.bing.com/financeapi/forcetrigger?t=a26fww&amp;q=XNAS%3aZBRA&amp;form=skydnc</v>
    <v>Learn more on Bing</v>
  </rv>
  <rv s="1">
    <v>0</v>
    <v>ZEBRA TECHNOLOGIES CORPORATION (XNAS:ZBRA)</v>
    <v>2</v>
    <v>3</v>
    <v>Finance</v>
    <v>4</v>
    <v>en-US</v>
    <v>a26fww</v>
    <v>268435456</v>
    <v>1</v>
    <v>Powered by Refinitiv</v>
    <v>427.755</v>
    <v>205.73</v>
    <v>1.7513000000000001</v>
    <v>15.484999999999999</v>
    <v>4.6586999999999996E-2</v>
    <v>USD</v>
    <v>Zebra Technologies Corporation is engaged in the Automatic Identification and Data Capture (AIDC) industry. The Company helps organizations monitor, anticipate, and accelerate workflows by empowering their frontline and ensuring that everyone and everything is visible, connected and fully optimized. Its portfolio includes hardware, software, and services. It operates through two segments: Asset Intelligence &amp; Tracking (AIT) and Enterprise Visibility &amp; Mobility (EVM). The AIT segment is engaged in barcode printing and asset tracking technologies. Its product lines include barcode and card printers, radio frequency identification devices (RFID) and real-time location systems (RTLS) offerings, and supplies, including temperature-monitoring labels, and services. The EVM segment is engaged in automatic information and data capture solutions. Its product lines include mobile computing, data capture, fixed industrial scanning and machine vision, services, and workflow optimization solutions.</v>
    <v>9900</v>
    <v>Nasdaq Stock Market</v>
    <v>XNAS</v>
    <v>XNAS</v>
    <v>3 Overlook Point, LINCOLNSHIRE, IL, 60069 US</v>
    <v>349.86</v>
    <v>Electronic Equipment &amp; Parts</v>
    <v>Stock</v>
    <v>45869.653989443752</v>
    <v>25</v>
    <v>329.21</v>
    <v>17690950048</v>
    <v>ZEBRA TECHNOLOGIES CORPORATION</v>
    <v>ZEBRA TECHNOLOGIES CORPORATION</v>
    <v>334.44</v>
    <v>32.881100000000004</v>
    <v>332.39</v>
    <v>347.875</v>
    <v>50854330</v>
    <v>ZBRA</v>
    <v>ZEBRA TECHNOLOGIES CORPORATION (XNAS:ZBRA)</v>
    <v>447138</v>
    <v>403516</v>
    <v>1991</v>
  </rv>
  <rv s="2">
    <v>26</v>
  </rv>
  <rv s="0">
    <v>https://www.bing.com/financeapi/forcetrigger?t=a1s7f2&amp;q=XNAS%3aESEA&amp;form=skydnc</v>
    <v>Learn more on Bing</v>
  </rv>
  <rv s="1">
    <v>0</v>
    <v>EUROSEAS LTD (XNAS:ESEA)</v>
    <v>2</v>
    <v>3</v>
    <v>Finance</v>
    <v>4</v>
    <v>en-US</v>
    <v>a1s7f2</v>
    <v>268435456</v>
    <v>1</v>
    <v>Powered by Refinitiv</v>
    <v>53.05</v>
    <v>24.5686</v>
    <v>0.85580000000000001</v>
    <v>0.55000000000000004</v>
    <v>1.0698000000000001E-2</v>
    <v>USD</v>
    <v>Euroseas Ltd. is engaged in the shipping business. The Company is an owner and operator of drybulk and container carrier vessels and is a provider of seaborne transportation for drybulk and containerized cargoes. Eurobulk Ltd. manages the Company's operations. The Company also owns and operates dry bulk carriers that transport major bulks, such as iron ore, coal and grains, and minor bulks, such as bauxite, phosphate and fertilizers. The Company has a fleet of 12 vessels, including Kamsarmax drybulk carrier, Panamax drybulk carriers and Handymax drybulk carrier, Intermediate containerships, Handysize containerships, and Feeder containerships. The Company’s five drybulk carriers have a total cargo capacity of 351,272 deadweight tons (dwt), and its seven containerships have a cargo capacity of 11,828 twenty-foot equivalent units (teu).</v>
    <v>365</v>
    <v>Nasdaq Stock Market</v>
    <v>XNAS</v>
    <v>XNAS</v>
    <v>4 Messogiou &amp; Evropis Street, ATHINA, ATTIKI, 00000 GR</v>
    <v>52.303699999999999</v>
    <v>Freight &amp; Logistics Services</v>
    <v>Stock</v>
    <v>45869.653813876561</v>
    <v>28</v>
    <v>51.31</v>
    <v>360379600</v>
    <v>EUROSEAS LTD</v>
    <v>EUROSEAS LTD</v>
    <v>51.31</v>
    <v>2.7948</v>
    <v>51.41</v>
    <v>51.96</v>
    <v>7009910</v>
    <v>ESEA</v>
    <v>EUROSEAS LTD (XNAS:ESEA)</v>
    <v>15458</v>
    <v>44141</v>
    <v>2005</v>
  </rv>
  <rv s="2">
    <v>29</v>
  </rv>
  <rv s="0">
    <v>https://www.bing.com/financeapi/forcetrigger?t=a1u9c7&amp;q=XNYS%3aGSL&amp;form=skydnc</v>
    <v>Learn more on Bing</v>
  </rv>
  <rv s="1">
    <v>0</v>
    <v>Global Ship Lease, Inc. (XNYS:GSL)</v>
    <v>2</v>
    <v>3</v>
    <v>Finance</v>
    <v>4</v>
    <v>en-US</v>
    <v>a1u9c7</v>
    <v>268435456</v>
    <v>1</v>
    <v>Powered by Refinitiv</v>
    <v>29.23</v>
    <v>17.7301</v>
    <v>1.1939</v>
    <v>-0.17499999999999999</v>
    <v>-6.1150000000000006E-3</v>
    <v>USD</v>
    <v>Global Ship Lease, Inc. is an independent owner of containerships with a diversified fleet of mid-sized and smaller containerships. The Company is focused on mid-size Post-Panamax and smaller containerships which tend to serve the non-Mainlane and intra-regional trades. The Company takes a partnership approach with its customers, providing flexible chartering solutions which enable them to free up capital and management resources to focus on other strategic priorities. As a containership owner, its business is both pro-cyclical - with chartered tonnage used as a growth platform by liner shipping companies, and counter-cyclical - with sale and lease-back structures used by liner companies as a balance sheet management tool. The Company's fleet of 69 vessels has an average age weighted by TEU capacity of 17.5 years. 39 ships are wide-beam Post-Panamax. Its vessels include CMA CGM Thalassa, Zim Norfolk, Zim Xiamen, Anthea Y, Sydney Express, Istanbul Express, GSL Effie and Newyorker.</v>
    <v>7</v>
    <v>New York Stock Exchange</v>
    <v>XNYS</v>
    <v>XNYS</v>
    <v>25 Wilton Road, LONDON, SW1V 1LW GB</v>
    <v>28.766300000000001</v>
    <v>Freight &amp; Logistics Services</v>
    <v>Stock</v>
    <v>45869.653619803124</v>
    <v>31</v>
    <v>28.35</v>
    <v>1012999838</v>
    <v>Global Ship Lease, Inc.</v>
    <v>Global Ship Lease, Inc.</v>
    <v>28.64</v>
    <v>2.8963000000000001</v>
    <v>28.62</v>
    <v>28.445</v>
    <v>35612580</v>
    <v>GSL</v>
    <v>Global Ship Lease, Inc. (XNYS:GSL)</v>
    <v>161912</v>
    <v>308090</v>
    <v>2008</v>
  </rv>
  <rv s="2">
    <v>32</v>
  </rv>
  <rv s="0">
    <v>https://www.bing.com/financeapi/forcetrigger?t=a26hsm&amp;q=XNYS%3aZTO&amp;form=skydnc</v>
    <v>Learn more on Bing</v>
  </rv>
  <rv s="1">
    <v>0</v>
    <v>ZTO EXPRESS (CAYMAN) INC. (XNYS:ZTO)</v>
    <v>2</v>
    <v>3</v>
    <v>Finance</v>
    <v>4</v>
    <v>en-US</v>
    <v>a26hsm</v>
    <v>268435456</v>
    <v>1</v>
    <v>Powered by Refinitiv</v>
    <v>27.5</v>
    <v>16.34</v>
    <v>-0.1671</v>
    <v>-0.39</v>
    <v>-1.9519999999999999E-2</v>
    <v>USD</v>
    <v>ZTO Express Cayman Inc is a holding company that provides express delivery services and other value-added logistics services through a nationwide network. The express delivery services mainly include parcel sorting and route transportation. The Company provides express delivery services directly to corporate customers, including vertical e-commerce and traditional merchants, as well as delivering products to end consumers. The Company also provides freight forwarding services. The Company mainly operates within the domestic market.</v>
    <v>24477</v>
    <v>New York Stock Exchange</v>
    <v>XNYS</v>
    <v>XNYS</v>
    <v>Building 1, No. 1685, Huazhi Road, Qingpu District, SHANGHAI, SHANGHAI, 201708 CN</v>
    <v>19.670000000000002</v>
    <v>Freight &amp; Logistics Services</v>
    <v>Stock</v>
    <v>45869.654053529688</v>
    <v>34</v>
    <v>19.03</v>
    <v>16356030000</v>
    <v>ZTO EXPRESS (CAYMAN) INC.</v>
    <v>ZTO EXPRESS (CAYMAN) INC.</v>
    <v>19.43</v>
    <v>12.678800000000001</v>
    <v>19.98</v>
    <v>19.59</v>
    <v>804468500</v>
    <v>ZTO</v>
    <v>ZTO EXPRESS (CAYMAN) INC. (XNYS:ZTO)</v>
    <v>852276</v>
    <v>1777324</v>
    <v>2015</v>
  </rv>
  <rv s="2">
    <v>35</v>
  </rv>
  <rv s="0">
    <v>https://www.bing.com/financeapi/forcetrigger?t=a24ynm&amp;q=XNYS%3aUPS&amp;form=skydnc</v>
    <v>Learn more on Bing</v>
  </rv>
  <rv s="1">
    <v>0</v>
    <v>UNITED PARCEL SERVICE, INC. (XNYS:UPS)</v>
    <v>2</v>
    <v>3</v>
    <v>Finance</v>
    <v>4</v>
    <v>en-US</v>
    <v>a24ynm</v>
    <v>268435456</v>
    <v>1</v>
    <v>Powered by Refinitiv</v>
    <v>145.01</v>
    <v>85.758700000000005</v>
    <v>1.0928</v>
    <v>-1.085</v>
    <v>-1.2445999999999999E-2</v>
    <v>USD</v>
    <v>United Parcel Service, Inc. provides a range of integrated logistics solutions for customers in more than 200 countries and territories. Its segments include U.S. Domestic Package and International Package. U.S. Domestic Package segment offers a range of United States domestic air and ground package transportation services. Its air portfolio offers time-definite, same-day, next-day, two-day and three-day delivery alternatives as well as air cargo services. Its ground network enables customers to ship using its day-definite ground service. UPS SurePost provides residential ground service for customers with non-urgent, lightweight residential shipments. International Package segment consists of its small package operations in Europe, Indian sub-continent, Middle East and Africa, Canada and Latin America and Asia. It offers a selection of guaranteed day- and time-definite international shipping services. Its supply chain solutions consist of forwarding, logistics, and other businesses.</v>
    <v>490000</v>
    <v>New York Stock Exchange</v>
    <v>XNYS</v>
    <v>XNYS</v>
    <v>55 Glenlake Parkway Ne, ATLANTA, GA, 30328 US</v>
    <v>87.019900000000007</v>
    <v>Freight &amp; Logistics Services</v>
    <v>Stock</v>
    <v>45869.654036828128</v>
    <v>37</v>
    <v>85.758700000000005</v>
    <v>72905056591</v>
    <v>UNITED PARCEL SERVICE, INC.</v>
    <v>UNITED PARCEL SERVICE, INC.</v>
    <v>86.98</v>
    <v>12.8017</v>
    <v>87.18</v>
    <v>86.094999999999999</v>
    <v>846797800</v>
    <v>UPS</v>
    <v>UNITED PARCEL SERVICE, INC. (XNYS:UPS)</v>
    <v>5405089</v>
    <v>6406510</v>
    <v>1999</v>
  </rv>
  <rv s="2">
    <v>38</v>
  </rv>
  <rv s="0">
    <v>https://www.bing.com/financeapi/forcetrigger?t=a1olgh&amp;q=XNYS%3aBLDR&amp;form=skydnc</v>
    <v>Learn more on Bing</v>
  </rv>
  <rv s="1">
    <v>0</v>
    <v>BUILDERS FIRSTSOURCE, INC. (XNYS:BLDR)</v>
    <v>2</v>
    <v>3</v>
    <v>Finance</v>
    <v>4</v>
    <v>en-US</v>
    <v>a1olgh</v>
    <v>268435456</v>
    <v>1</v>
    <v>Powered by Refinitiv</v>
    <v>203.14</v>
    <v>102.6</v>
    <v>1.6849000000000001</v>
    <v>-3.1349999999999998</v>
    <v>-2.4858999999999999E-2</v>
    <v>USD</v>
    <v>Builders FirstSource, Inc. is a supplier of structural building products, value-added components and services to the professional market for single-family and multi-family construction and repair and remodeling. The Company provides customers an integrated homebuilding solution, offering manufacturing, supply, delivery, and installation of a full range of structural and related building products. The Company groups its building products and services into four product categories: Manufactured Products; Windows, Doors and Millwork; Specialty Building Products and Services, and Lumber and Lumber Sheet Goods. Its manufactured products are factory-built substitutes for job-site framing and include wood floor and roof trusses, wall panels and engineered wood. Its specialty building products and services consist of various products, including vinyl, composite and wood siding, exterior trim, metal studs, cement and insulation. The Company operates in approximately 43 states with 590 locations.</v>
    <v>29000</v>
    <v>New York Stock Exchange</v>
    <v>XNYS</v>
    <v>XNYS</v>
    <v>6031 CONNECTION DR., STE. 400, IRVING, TX, 75039 US</v>
    <v>125.8951</v>
    <v>Homebuilding &amp; Construction Supplies</v>
    <v>Stock</v>
    <v>45869.65402798594</v>
    <v>40</v>
    <v>118.2</v>
    <v>13590557530</v>
    <v>BUILDERS FIRSTSOURCE, INC.</v>
    <v>BUILDERS FIRSTSOURCE, INC.</v>
    <v>121.93</v>
    <v>15.7875</v>
    <v>126.11</v>
    <v>122.97499999999999</v>
    <v>110514800</v>
    <v>BLDR</v>
    <v>BUILDERS FIRSTSOURCE, INC. (XNYS:BLDR)</v>
    <v>1873188</v>
    <v>2086476</v>
    <v>1998</v>
  </rv>
  <rv s="2">
    <v>41</v>
  </rv>
  <rv s="6">
    <v>10</v>
    <v>F&amp;G ANNUITIES &amp; LIFE, INC. (XNYS:FG)</v>
    <v>11</v>
    <v>3</v>
    <v>Finance</v>
    <v>4</v>
    <v>en-US</v>
    <v>c83rjc</v>
    <v>268435456</v>
    <v>1</v>
    <v>Powered by Refinitiv</v>
    <v>50.75</v>
    <v>30.01</v>
    <v>1.1299999999999999</v>
    <v>0.89500000000000002</v>
    <v>2.9152999999999998E-2</v>
    <v>USD</v>
    <v>F&amp;G Annuities &amp; Life, Inc. is a provider of insurance solutions serving retail annuity and life customers, as well as institutional clients. Through its subsidiaries, it markets a portfolio of annuities, including fixed indexed annuities (FIAs), registered index-linked annuities (RILAs), (referred to as indexed annuities), multi-year guarantee annuities (MYGAs) as well as pension risk transfer (PRT) solutions, indexed universal life (IUL) insurance and institutional funding agreements. Its retail annuities serve as a retirement and savings tool on which its customers rely for principal protection and predictable income streams. In addition, its life insurance products provide its customers with a complementary product that allows them to build on their savings and provide a payment to their designated beneficiaries upon the policyholder's death. Its customers value its FIAs, which provide a portion of the gains of an underlying market index, while also providing principal protection.</v>
    <v>1338</v>
    <v>New York Stock Exchange</v>
    <v>XNYS</v>
    <v>XNYS</v>
    <v>801 Grand Ave, Suite 2600, DES MOINES, IA, 50309 US</v>
    <v>31.69</v>
    <v>Insurance</v>
    <v>Stock</v>
    <v>45869.653992117972</v>
    <v>30.5825</v>
    <v>4257824347</v>
    <v>F&amp;G ANNUITIES &amp; LIFE, INC.</v>
    <v>F&amp;G ANNUITIES &amp; LIFE, INC.</v>
    <v>30.6</v>
    <v>8.5437999999999992</v>
    <v>30.7</v>
    <v>31.594999999999999</v>
    <v>134762600</v>
    <v>FG</v>
    <v>F&amp;G ANNUITIES &amp; LIFE, INC. (XNYS:FG)</v>
    <v>34934</v>
    <v>180122</v>
    <v>2020</v>
  </rv>
  <rv s="2">
    <v>43</v>
  </rv>
  <rv s="0">
    <v>https://www.bing.com/financeapi/forcetrigger?t=a1pwnm&amp;q=XNAS%3aCMCO&amp;form=skydnc</v>
    <v>Learn more on Bing</v>
  </rv>
  <rv s="1">
    <v>0</v>
    <v>COLUMBUS MCKINNON CORPORATION (XNAS:CMCO)</v>
    <v>2</v>
    <v>3</v>
    <v>Finance</v>
    <v>4</v>
    <v>en-US</v>
    <v>a1pwnm</v>
    <v>268435456</v>
    <v>1</v>
    <v>Powered by Refinitiv</v>
    <v>41.05</v>
    <v>11.7807</v>
    <v>1.2870999999999999</v>
    <v>0.34</v>
    <v>2.3481000000000002E-2</v>
    <v>USD</v>
    <v>Columbus McKinnon Corporation is a designer, manufacturer and marketer of intelligent motion solutions for material handling. Its key products include hoists, crane components, precision conveyor systems, rigging tools, light rail workstations and digital power and motion control systems. The Company focuses on commercial and industrial applications that require the safety and quality provided by its design and engineering know-how. Its products include a wide variety of electric, air-powered, lever, and hand hoists, hoist trolleys, explosion-protected hoists, winches, and aluminum work stations; alloy and carbon steel chain; forged attachments, such as hooks, shackles, textile slings, clamps, and load binders; mechanical and electromechanical actuators and rotary unions; below-the-hook special purpose lifters; and power and motion control systems, among others. Its target market verticals include manufacturing, transportation, energy and utilities, aerospace, and others.</v>
    <v>3478</v>
    <v>Nasdaq Stock Market</v>
    <v>XNAS</v>
    <v>XNAS</v>
    <v>13320 Ballantyne Corporate Place, Suite D, CHARLOTTE, NC, 28277 US</v>
    <v>15.22</v>
    <v>Machinery, Equipment &amp; Components</v>
    <v>Stock</v>
    <v>45869.653866203123</v>
    <v>45</v>
    <v>14.25</v>
    <v>425159272</v>
    <v>COLUMBUS MCKINNON CORPORATION</v>
    <v>COLUMBUS MCKINNON CORPORATION</v>
    <v>14.44</v>
    <v>0</v>
    <v>14.48</v>
    <v>14.82</v>
    <v>28688210</v>
    <v>CMCO</v>
    <v>COLUMBUS MCKINNON CORPORATION (XNAS:CMCO)</v>
    <v>141559</v>
    <v>413085</v>
    <v>1929</v>
  </rv>
  <rv s="2">
    <v>46</v>
  </rv>
  <rv s="0">
    <v>https://www.bing.com/financeapi/forcetrigger?t=a1p7zr&amp;q=XNYS%3aCAT&amp;form=skydnc</v>
    <v>Learn more on Bing</v>
  </rv>
  <rv s="1">
    <v>0</v>
    <v>CATERPILLAR INC. (XNYS:CAT)</v>
    <v>2</v>
    <v>3</v>
    <v>Finance</v>
    <v>4</v>
    <v>en-US</v>
    <v>a1p7zr</v>
    <v>268435456</v>
    <v>1</v>
    <v>Powered by Refinitiv</v>
    <v>439.95</v>
    <v>267.3</v>
    <v>1.3983000000000001</v>
    <v>4.5199999999999996</v>
    <v>1.0411999999999999E-2</v>
    <v>USD</v>
    <v>Caterpillar Inc. is a manufacturer of construction and mining equipment, off-highway diesel and natural gas engines, industrial gas turbines and diesel-electric locomotives. The Company operates through its various segments, namely Construction Industries, Resource Industries, and Energy &amp; Transportation. It also provides financing and related services through its Financial Products segment. The Construction Industries segment is primarily responsible for supporting customers using machinery in infrastructure and building construction applications. The Resource Industries segment develops and manufactures high productivity equipment for both surface and underground mining operations, as well as provide hydraulic systems, electronics and software for its machines and engines. The Energy &amp; Transportation segment offers product and services that includes reciprocating engines, generator sets, integrated systems and solutions, turbines and turbine-related services.</v>
    <v>112900</v>
    <v>New York Stock Exchange</v>
    <v>XNYS</v>
    <v>XNYS</v>
    <v>5205 N. O'connor Boulevard, Suite 100, IRVING, TX, 75039 US</v>
    <v>439.95</v>
    <v>Machinery, Equipment &amp; Components</v>
    <v>Stock</v>
    <v>45869.654016503904</v>
    <v>48</v>
    <v>433.16</v>
    <v>206298971600</v>
    <v>CATERPILLAR INC.</v>
    <v>CATERPILLAR INC.</v>
    <v>433.16</v>
    <v>21.373699999999999</v>
    <v>434.12</v>
    <v>438.64</v>
    <v>470315000</v>
    <v>CAT</v>
    <v>CATERPILLAR INC. (XNYS:CAT)</v>
    <v>962105</v>
    <v>2598754</v>
    <v>1986</v>
  </rv>
  <rv s="2">
    <v>49</v>
  </rv>
  <rv s="0">
    <v>https://www.bing.com/financeapi/forcetrigger?t=a1u65r&amp;q=XNYS%3aGRC&amp;form=skydnc</v>
    <v>Learn more on Bing</v>
  </rv>
  <rv s="1">
    <v>0</v>
    <v>THE GORMAN- RUPP COMPANY (XNYS:GRC)</v>
    <v>2</v>
    <v>3</v>
    <v>Finance</v>
    <v>4</v>
    <v>en-US</v>
    <v>a1u65r</v>
    <v>268435456</v>
    <v>1</v>
    <v>Powered by Refinitiv</v>
    <v>43.79</v>
    <v>30.870899999999999</v>
    <v>1.2052</v>
    <v>-0.33</v>
    <v>-8.0230000000000006E-3</v>
    <v>USD</v>
    <v>The Gorman-Rupp Company designs, manufactures, and sells pumps and pump systems for use in water, wastewater, construction, dewatering, industrial, petroleum, original equipment, agriculture, fire protection, heating, ventilating and air conditioning, military, and other liquid-handling applications. The Company’s product line consists of pump models ranging in size from 1/4 to nearly 15 feet and ranging in rated capacity from less than one gallon per minute to nearly one million gallons per minute. The types of pumps which the Company produces include self-priming centrifugal, standard centrifugal, magnetic drive centrifugal, axial and mixed-flow, vertical turbine line shaft, submersible, high-pressure booster, rotary gear, rotary vein, diaphragm, bellows and oscillating. Its pumps have driven that range from 1/35 horsepower electric motors up to larger electric motors or internal combustion engines capable of producing several thousand horsepower.</v>
    <v>1450</v>
    <v>New York Stock Exchange</v>
    <v>XNYS</v>
    <v>XNYS</v>
    <v>PO Box 1217, 600 S Airport Rd, MANSFIELD, OH, 44901 US</v>
    <v>41.03</v>
    <v>Machinery, Equipment &amp; Components</v>
    <v>Stock</v>
    <v>45869.652718969533</v>
    <v>51</v>
    <v>40.449599999999997</v>
    <v>1073563871</v>
    <v>THE GORMAN- RUPP COMPANY</v>
    <v>THE GORMAN- RUPP COMPANY</v>
    <v>40.79</v>
    <v>20.672899999999998</v>
    <v>41.13</v>
    <v>40.799999999999997</v>
    <v>26312840</v>
    <v>GRC</v>
    <v>THE GORMAN- RUPP COMPANY (XNYS:GRC)</v>
    <v>17386</v>
    <v>58563</v>
    <v>1934</v>
  </rv>
  <rv s="2">
    <v>52</v>
  </rv>
  <rv s="0">
    <v>https://www.bing.com/financeapi/forcetrigger?t=a1nvvh&amp;q=XNYS%3aATKR&amp;form=skydnc</v>
    <v>Learn more on Bing</v>
  </rv>
  <rv s="1">
    <v>0</v>
    <v>ATKORE INC (XNYS:ATKR)</v>
    <v>2</v>
    <v>3</v>
    <v>Finance</v>
    <v>4</v>
    <v>en-US</v>
    <v>a1nvvh</v>
    <v>268435456</v>
    <v>1</v>
    <v>Powered by Refinitiv</v>
    <v>139</v>
    <v>49.92</v>
    <v>2.1040999999999999</v>
    <v>-0.34</v>
    <v>-4.3759999999999997E-3</v>
    <v>USD</v>
    <v>Atkore Inc. is a manufacturer of electrical products for the non-residential construction and renovation markets, as well as residential markets, and safety and infrastructure products for the construction and industrial markets. The Company’s segments include Electrical and Safety &amp; Infrastructure. The Electrical segment manufactures products used in the construction of electrical power systems including conduit, cable and installation accessories. This segment serves contractors in partnership with the electrical wholesale channel. The Safety &amp; Infrastructure segment designs and manufactures solutions including metal framing, mechanical pipe, perimeter security and cable management for the protection and reliability of critical infrastructure. These solutions are marketed to contractors, OEMs, and end-users. It manufactures products in 42 facilities and operate a total footprint of over 8.5 million square feet of manufacturing and distribution space in eight countries.</v>
    <v>5600</v>
    <v>New York Stock Exchange</v>
    <v>XNYS</v>
    <v>XNYS</v>
    <v>16100 SOUTH LATHROP AVENUE, HARVEY, IL, 60426 US</v>
    <v>78.605000000000004</v>
    <v>Machinery, Equipment &amp; Components</v>
    <v>Stock</v>
    <v>45869.654039710156</v>
    <v>54</v>
    <v>76.860600000000005</v>
    <v>2602952033</v>
    <v>ATKORE INC</v>
    <v>ATKORE INC</v>
    <v>77.14</v>
    <v>14.8896</v>
    <v>77.69</v>
    <v>77.349999999999994</v>
    <v>33651610</v>
    <v>ATKR</v>
    <v>ATKORE INC (XNYS:ATKR)</v>
    <v>67200</v>
    <v>488592</v>
    <v>2010</v>
  </rv>
  <rv s="2">
    <v>55</v>
  </rv>
  <rv s="0">
    <v>https://www.bing.com/financeapi/forcetrigger?t=a1xoz2&amp;q=XNYS%3aMLI&amp;form=skydnc</v>
    <v>Learn more on Bing</v>
  </rv>
  <rv s="1">
    <v>0</v>
    <v>MUELLER INDUSTRIES, INC. (XNYS:MLI)</v>
    <v>2</v>
    <v>3</v>
    <v>Finance</v>
    <v>4</v>
    <v>en-US</v>
    <v>a1xoz2</v>
    <v>268435456</v>
    <v>1</v>
    <v>Powered by Refinitiv</v>
    <v>96.814499999999995</v>
    <v>62.74</v>
    <v>1.0361</v>
    <v>-1.49</v>
    <v>-1.7029000000000002E-2</v>
    <v>USD</v>
    <v>Mueller Industries, Inc. is a manufacturer of copper, brass, and aluminum products. The Company's products include copper tubes and fittings; line sets; steel nipples; brass rods, bars and shapes; aluminum and brass forgings; aluminum impact extrusions; compressed gas valves; refrigeration valves and fittings; pressure vessels; coaxial heat exchangers; insulated flexible duct systems, and wire and cable solutions. It also resells brass and plastic plumbing valves, faucets, and plumbing specialty products. Its Piping Systems segment is composed of Domestic Piping Systems Group, Great Lakes Copper, European Operations, Trading Group, Jungwoo Metal Ind. Co., LTD and Mueller Middle East WLL. Its Industrial Metals segment is composed of Brass Rod, Impacts &amp; Micro Gauge, Brass Value-Added Products, Precision Tube, and Nehring Electrical Works Company. Its Climate segment is composed of Refrigeration Products, Westermeyer Industries, Inc., Turbotec Products, Inc., Flex Duct and Linesets, Inc.</v>
    <v>5168</v>
    <v>New York Stock Exchange</v>
    <v>XNYS</v>
    <v>XNYS</v>
    <v>150 Schilling Blvd., Suite 100, COLLIERVILLE, TN, 38017 US</v>
    <v>88.413899999999998</v>
    <v>Machinery, Equipment &amp; Components</v>
    <v>Stock</v>
    <v>45869.653964791403</v>
    <v>57</v>
    <v>85.96</v>
    <v>9686315000</v>
    <v>MUELLER INDUSTRIES, INC.</v>
    <v>MUELLER INDUSTRIES, INC.</v>
    <v>87.125</v>
    <v>15.671799999999999</v>
    <v>87.5</v>
    <v>86.01</v>
    <v>110700800</v>
    <v>MLI</v>
    <v>MUELLER INDUSTRIES, INC. (XNYS:MLI)</v>
    <v>215377</v>
    <v>1638339</v>
    <v>1990</v>
  </rv>
  <rv s="2">
    <v>58</v>
  </rv>
  <rv s="0">
    <v>https://www.bing.com/financeapi/forcetrigger?t=a1pkf2&amp;q=XNAS%3aCGNX&amp;form=skydnc</v>
    <v>Learn more on Bing</v>
  </rv>
  <rv s="1">
    <v>0</v>
    <v>COGNEX CORPORATION (XNAS:CGNX)</v>
    <v>2</v>
    <v>3</v>
    <v>Finance</v>
    <v>4</v>
    <v>en-US</v>
    <v>a1pkf2</v>
    <v>268435456</v>
    <v>1</v>
    <v>Powered by Refinitiv</v>
    <v>50.34</v>
    <v>22.67</v>
    <v>1.4571000000000001</v>
    <v>7</v>
    <v>0.207346</v>
    <v>USD</v>
    <v>Cognex Corporation invents and commercializes technologies that address various critical manufacturing and distribution challenges. The Company is a global provider of machine vision products and solutions that improve efficiency and quality in businesses across industrial end markets. It operates through the machine vision technology segment. Its solutions blend physical products and software to capture and analyze visual information, allowing for the automation of manufacturing and distribution tasks for customers worldwide. Machine vision products are used to automate the manufacturing or distribution and tracking of discrete items, such as mobile phones, electric vehicle batteries and e-commerce packages, by locating, identifying, inspecting, and measuring them. Machine vision is important for applications in which human vision is inadequate to meet requirements for size, accuracy, or speed, or in instances where substantial cost savings or quality improvements are maintained.</v>
    <v>2914</v>
    <v>Nasdaq Stock Market</v>
    <v>XNAS</v>
    <v>XNAS</v>
    <v>One Vision Drive, NATICK, MA, 01760 US</v>
    <v>42.14</v>
    <v>Machinery, Equipment &amp; Components</v>
    <v>Stock</v>
    <v>45869.653975763278</v>
    <v>60</v>
    <v>38.47</v>
    <v>6842177400</v>
    <v>COGNEX CORPORATION</v>
    <v>COGNEX CORPORATION</v>
    <v>38.520000000000003</v>
    <v>59.590600000000002</v>
    <v>33.76</v>
    <v>40.76</v>
    <v>167865000</v>
    <v>CGNX</v>
    <v>COGNEX CORPORATION (XNAS:CGNX)</v>
    <v>3016141</v>
    <v>1757750</v>
    <v>1981</v>
  </rv>
  <rv s="2">
    <v>61</v>
  </rv>
  <rv s="0">
    <v>https://www.bing.com/financeapi/forcetrigger?t=a1n6nm&amp;q=XNYS%3aAIN&amp;form=skydnc</v>
    <v>Learn more on Bing</v>
  </rv>
  <rv s="1">
    <v>0</v>
    <v>ALBANY INTERNATIONAL CORP. (XNYS:AIN)</v>
    <v>2</v>
    <v>3</v>
    <v>Finance</v>
    <v>4</v>
    <v>en-US</v>
    <v>a1n6nm</v>
    <v>268435456</v>
    <v>1</v>
    <v>Powered by Refinitiv</v>
    <v>95.47</v>
    <v>51.2</v>
    <v>1.3994</v>
    <v>-18.28</v>
    <v>-0.25761000000000001</v>
    <v>USD</v>
    <v>Albany International Corp. is a developer and manufacturer of engineered components. It is engaged in advanced textiles and materials processing, specializing in designing and manufacturing high-performance engineered fabrics and composite components and assemblies that serve industries, such as paper, industrial manufacturing, and aerospace. Its Machine Clothing segment is a producer of custom-designed fabrics and high-speed process belts critical in the manufacture of all grades of paper products characterized primarily as paper machine clothing. The segment supplies highly engineered consumable permeable, and impermeable belts. Its Albany Engineered Composites segment provides composite technology solutions and is a manufacturer of engineered components, structures and assemblies for aerospace and defense applications. The segment provides highly engineered, advanced composite structures and assembly solutions to customers and platforms in the commercial and defense markets.</v>
    <v>5400</v>
    <v>New York Stock Exchange</v>
    <v>XNYS</v>
    <v>XNYS</v>
    <v>216 Airport Drive, ROCHESTER, NH, 03867 US</v>
    <v>66.760000000000005</v>
    <v>Machinery, Equipment &amp; Components</v>
    <v>Stock</v>
    <v>45869.654033680468</v>
    <v>63</v>
    <v>51.2</v>
    <v>1590936000</v>
    <v>ALBANY INTERNATIONAL CORP.</v>
    <v>ALBANY INTERNATIONAL CORP.</v>
    <v>64.709999999999994</v>
    <v>21.2043</v>
    <v>70.959999999999994</v>
    <v>52.68</v>
    <v>30200000</v>
    <v>AIN</v>
    <v>ALBANY INTERNATIONAL CORP. (XNYS:AIN)</v>
    <v>739420</v>
    <v>248599</v>
    <v>1987</v>
  </rv>
  <rv s="2">
    <v>64</v>
  </rv>
  <rv s="0">
    <v>https://www.bing.com/financeapi/forcetrigger?t=a1sp52&amp;q=XNYS%3aFCX&amp;form=skydnc</v>
    <v>Learn more on Bing</v>
  </rv>
  <rv s="1">
    <v>0</v>
    <v>FREEPORT-MCMORAN INC. (XNYS:FCX)</v>
    <v>2</v>
    <v>3</v>
    <v>Finance</v>
    <v>4</v>
    <v>en-US</v>
    <v>a1sp52</v>
    <v>268435456</v>
    <v>1</v>
    <v>Powered by Refinitiv</v>
    <v>52.61</v>
    <v>27.66</v>
    <v>1.6212</v>
    <v>0.90990000000000004</v>
    <v>2.3247E-2</v>
    <v>USD</v>
    <v>Freeport-McMoRan Inc. is an international metals company focused on copper. The Company operates geographically diverse assets with significant proven and probable mineral reserves of copper, gold and molybdenum. The Company's segments include the Morenci and Cerro Verde copper mines, the Indonesia operations (including the Grasberg minerals district and PT-FI’s downstream processing facilities), the Rod &amp; Refining operations and Atlantic Copper Smelting &amp; Refining. Its operations include North America, South America and Indonesia. In North America, it manages seven copper operations: Morenci, Bagdad, Safford (including Lone Star), Sierrita and Miami in Arizona, and Chino and Tyrone in New Mexico, and two molybdenum mines: Henderson and Climax in Colorado. It also operates a copper smelter in Miami, Arizona. In South America, it manages two copper operations: Cerro Verde in Peru and El Abra in Chile. In addition to copper, the Grasberg minerals district also produces gold and silver.</v>
    <v>28500</v>
    <v>New York Stock Exchange</v>
    <v>XNYS</v>
    <v>XNYS</v>
    <v>333 N Central Ave, PHOENIX, AZ, 85004 US</v>
    <v>40.094999999999999</v>
    <v>Metals &amp; Mining</v>
    <v>Stock</v>
    <v>45869.654008124999</v>
    <v>66</v>
    <v>38.760100000000001</v>
    <v>57519666380</v>
    <v>FREEPORT-MCMORAN INC.</v>
    <v>FREEPORT-MCMORAN INC.</v>
    <v>38.9</v>
    <v>32.720500000000001</v>
    <v>39.14</v>
    <v>40.049900000000001</v>
    <v>1436200000</v>
    <v>FCX</v>
    <v>FREEPORT-MCMORAN INC. (XNYS:FCX)</v>
    <v>11035649</v>
    <v>18843616</v>
    <v>1987</v>
  </rv>
  <rv s="2">
    <v>67</v>
  </rv>
  <rv s="0">
    <v>https://www.bing.com/financeapi/forcetrigger?t=a1ythw&amp;q=XNYS%3aNUE&amp;form=skydnc</v>
    <v>Learn more on Bing</v>
  </rv>
  <rv s="1">
    <v>0</v>
    <v>NUCOR CORPORATION (XNYS:NUE)</v>
    <v>2</v>
    <v>3</v>
    <v>Finance</v>
    <v>4</v>
    <v>en-US</v>
    <v>a1ythw</v>
    <v>268435456</v>
    <v>1</v>
    <v>Powered by Refinitiv</v>
    <v>170.52</v>
    <v>97.59</v>
    <v>1.7509999999999999</v>
    <v>0.87</v>
    <v>6.0860000000000003E-3</v>
    <v>USD</v>
    <v>Nucor Corporation is a manufacturer of steel and steel products, with operating facilities in the United States, Canada and Mexico. The Company also produces and procures ferrous and non-ferrous materials primarily for use in its steel manufacturing business. Its segments include steel mills, steel products and raw materials. Its products include carbon and alloy steel in bars, beams, sheet and plate; hollow structural section tubing; electrical conduit; steel racking; steel piling; steel joists and joist girders; steel deck; fabricated concrete reinforcing steel; cold finished steel; precision castings; steel fasteners; metal building systems; insulated metal panels; overhead doors; steel grating; wire and wire mesh; and utility structures. The Company, through The David J. Joseph Company and its affiliates, also brokers ferrous and nonferrous metals, pig iron and hot briquetted iron / direct reduced iron; supplies ferro-alloys; and processes ferrous and nonferrous scrap.</v>
    <v>32700</v>
    <v>New York Stock Exchange</v>
    <v>XNYS</v>
    <v>XNYS</v>
    <v>1915 REXFORD RD, CHARLOTTE, NC, 28211 US</v>
    <v>144.02000000000001</v>
    <v>Metals &amp; Mining</v>
    <v>Stock</v>
    <v>45869.653986562502</v>
    <v>69</v>
    <v>141.47999999999999</v>
    <v>33186536910</v>
    <v>NUCOR CORPORATION</v>
    <v>NUCOR CORPORATION</v>
    <v>142.19499999999999</v>
    <v>25.910699999999999</v>
    <v>142.94999999999999</v>
    <v>143.82</v>
    <v>230750500</v>
    <v>NUE</v>
    <v>NUCOR CORPORATION (XNYS:NUE)</v>
    <v>469823</v>
    <v>1888269</v>
    <v>1958</v>
  </rv>
  <rv s="2">
    <v>70</v>
  </rv>
  <rv s="0">
    <v>https://www.bing.com/financeapi/forcetrigger?t=a1oa4c&amp;q=XNYS%3aCIVI&amp;form=skydnc</v>
    <v>Learn more on Bing</v>
  </rv>
  <rv s="1">
    <v>0</v>
    <v>CIVITAS RESOURCES, INC. (XNYS:CIVI)</v>
    <v>2</v>
    <v>3</v>
    <v>Finance</v>
    <v>4</v>
    <v>en-US</v>
    <v>a1oa4c</v>
    <v>268435456</v>
    <v>1</v>
    <v>Powered by Refinitiv</v>
    <v>71.055000000000007</v>
    <v>22.79</v>
    <v>1.0606</v>
    <v>-0.71</v>
    <v>-2.2648000000000001E-2</v>
    <v>USD</v>
    <v>Civitas Resources, Inc. is an independent exploration and production company. It is focused on the acquisition, development, and production of crude oil and liquids-rich natural gas from its premier assets in the DJ Basin in Colorado and the Permian Basin in Texas and New Mexico. Its development facilities are in counties across the Front Range of northern and central Colorado, and Southeastern New Mexico and West Texas. Its DJ Basin assets are comprised of over 356,800 net acres located in Weld, Arapahoe, Adams, and Boulder counties, Colorado. Its operations in the DJ Basin target the Niobrara and Codell formations. Its Permian Basin assets are comprised of over 120,400 net acres located in Upton, Reagan, Glasscock, Martin, Midland, Reeves, and Loving counties, Texas and Eddy and Lea counties, New Mexico. Its operations in the Permian Basin primarily target the Spraberry and Wolfcamp formations of the Midland Basin and the Wolfcamp and Bone Spring formations of the Delaware Basin.</v>
    <v>655</v>
    <v>New York Stock Exchange</v>
    <v>XNYS</v>
    <v>XNYS</v>
    <v>555 - 17Th Street, Suite 3700, DENVER, CO, 80202 US</v>
    <v>31.45</v>
    <v>Oil &amp; Gas</v>
    <v>Stock</v>
    <v>45869.653937696094</v>
    <v>72</v>
    <v>30.39</v>
    <v>2836647829</v>
    <v>CIVITAS RESOURCES, INC.</v>
    <v>CIVITAS RESOURCES, INC.</v>
    <v>30.7</v>
    <v>3.5165000000000002</v>
    <v>31.35</v>
    <v>30.64</v>
    <v>92579890</v>
    <v>CIVI</v>
    <v>CIVITAS RESOURCES, INC. (XNYS:CIVI)</v>
    <v>362817</v>
    <v>1894953</v>
    <v>2010</v>
  </rv>
  <rv s="2">
    <v>73</v>
  </rv>
  <rv s="0">
    <v>https://www.bing.com/financeapi/forcetrigger?t=a1xjlh&amp;q=XNYS%3aMG&amp;form=skydnc</v>
    <v>Learn more on Bing</v>
  </rv>
  <rv s="1">
    <v>0</v>
    <v>MISTRAS GROUP, INC. (XNYS:MG)</v>
    <v>2</v>
    <v>3</v>
    <v>Finance</v>
    <v>4</v>
    <v>en-US</v>
    <v>a1xjlh</v>
    <v>268435456</v>
    <v>1</v>
    <v>Powered by Refinitiv</v>
    <v>12.435</v>
    <v>7.06</v>
    <v>1.4323999999999999</v>
    <v>-6.1800000000000001E-2</v>
    <v>-7.783E-3</v>
    <v>USD</v>
    <v>Mistras Group, Inc. is a provider of integrated technology-enabled asset protection solutions. Its segments include North America, International and Products and Systems. Its North America segment provides asset protection solutions in the United States and Canada, which consist primarily of non-destructive testing, inspection, in-laboratory testing, mechanical and engineering services that are used to evaluate the structural integrity and reliability of critical energy, industrial and public infrastructure and commercial aerospace components. Software, digital and data analytical solutions and services are included in this segment. Its International segment offers services, products and systems similar to those of the other segments to select markets within Europe, the Middle East, Africa, Asia and South America. The Products and Systems segment designs, manufactures, sells, installs and services its asset protection products and systems, including equipment and instrumentation.</v>
    <v>4800</v>
    <v>New York Stock Exchange</v>
    <v>XNYS</v>
    <v>XNYS</v>
    <v>195 Clarksville Rd, PRINCETON JUNCTION, NJ, 08550-5392 US</v>
    <v>7.9050000000000002</v>
    <v>Oil &amp; Gas</v>
    <v>Stock</v>
    <v>45869.652680358595</v>
    <v>75</v>
    <v>7.8049999999999997</v>
    <v>246822509</v>
    <v>MISTRAS GROUP, INC.</v>
    <v>MISTRAS GROUP, INC.</v>
    <v>7.8049999999999997</v>
    <v>16.895099999999999</v>
    <v>7.94</v>
    <v>7.8781999999999996</v>
    <v>31329810</v>
    <v>MG</v>
    <v>MISTRAS GROUP, INC. (XNYS:MG)</v>
    <v>12728</v>
    <v>128873</v>
    <v>1994</v>
  </rv>
  <rv s="2">
    <v>76</v>
  </rv>
  <rv s="0">
    <v>https://www.bing.com/financeapi/forcetrigger?t=a234fr&amp;q=XNYS%3aSM&amp;form=skydnc</v>
    <v>Learn more on Bing</v>
  </rv>
  <rv s="1">
    <v>0</v>
    <v>SM ENERGY COMPANY (XNYS:SM)</v>
    <v>2</v>
    <v>3</v>
    <v>Finance</v>
    <v>4</v>
    <v>en-US</v>
    <v>a234fr</v>
    <v>268435456</v>
    <v>1</v>
    <v>Powered by Refinitiv</v>
    <v>47.69</v>
    <v>19.670000000000002</v>
    <v>2.2921</v>
    <v>-0.56000000000000005</v>
    <v>-2.0209000000000001E-2</v>
    <v>USD</v>
    <v>SM Energy Company is an independent energy company. The Company is engaged in the acquisition, exploration, development, and production of crude oil, natural gas, and natural gas liquids (NGLs) in the states of Texas and Utah. Its asset portfolio comprises assets in the Midland Basin of West Texas, the Maverick Basin of South Texas, and the Uinta Basin of northeastern Utah. Its Midland Basin assets are located in the Permian Basin in West Texas, are comprised of over 110,000 net acres, and include its RockStar assets in Howard and Martin counties, Sweetie Peck assets in Upton and Midland counties, and Klondike assets in Dawson and northern Martin counties. Its South Texas assets are comprised of over 155,000 net acres located in Dimmit and Webb counties, Texas. Its overlapping acreage position in South Texas covers a portion of the western Eagle Ford shale and Austin Chalk formations. Its Uinta Basin assets comprise over 63,300 net acres located in northeastern Utah.</v>
    <v>663</v>
    <v>New York Stock Exchange</v>
    <v>XNYS</v>
    <v>XNYS</v>
    <v>1700 LINCOLN STREET, SUITE 3200, DENVER, CO, 80203 US</v>
    <v>27.91</v>
    <v>Oil &amp; Gas</v>
    <v>Stock</v>
    <v>45869.653988691403</v>
    <v>78</v>
    <v>27.145</v>
    <v>3107648730</v>
    <v>SM ENERGY COMPANY</v>
    <v>SM ENERGY COMPANY</v>
    <v>27.34</v>
    <v>3.8071000000000002</v>
    <v>27.71</v>
    <v>27.15</v>
    <v>114462200</v>
    <v>SM</v>
    <v>SM ENERGY COMPANY (XNYS:SM)</v>
    <v>541670</v>
    <v>2019744</v>
    <v>1915</v>
  </rv>
  <rv s="2">
    <v>79</v>
  </rv>
  <rv s="0">
    <v>https://www.bing.com/financeapi/forcetrigger?t=a1q5nm&amp;q=XNYS%3aCOP&amp;form=skydnc</v>
    <v>Learn more on Bing</v>
  </rv>
  <rv s="1">
    <v>0</v>
    <v>CONOCOPHILLIPS (XNYS:COP)</v>
    <v>2</v>
    <v>3</v>
    <v>Finance</v>
    <v>4</v>
    <v>en-US</v>
    <v>a1q5nm</v>
    <v>268435456</v>
    <v>1</v>
    <v>Powered by Refinitiv</v>
    <v>116.08</v>
    <v>79.88</v>
    <v>0.68</v>
    <v>-1.1100000000000001</v>
    <v>-1.1482000000000001E-2</v>
    <v>USD</v>
    <v>ConocoPhillips is an exploration and production company. Its Alaska segment primarily explores for, produces, transports and markets crude oil, natural gas and NGLs. The Lower 48 segment consists of operations located in the 48 contiguous states in the United States and the Gulf of Mexico. Canadian operations consist of the Surmont oil sands development in Alberta, the liquids-rich Montney unconventional play in British Columbia and commercial operations. The Europe, Middle East and North Africa segment consists of operations principally located in the Norwegian sector of the North Sea, the Norwegian Sea, Qatar, Libya, Equatorial Guinea and commercial and terminalling operations in the United Kingdom. Asia Pacific segment has exploration and production operations in China, Malaysia, Australia and commercial operations in China, Singapore and Japan. Other International segment includes interests in Colombia as well as contingencies associated with prior operations in other countries.</v>
    <v>11800</v>
    <v>New York Stock Exchange</v>
    <v>XNYS</v>
    <v>XNYS</v>
    <v>925 N. Eldridge Parkway, HOUSTON, TX, 77079-2703 US</v>
    <v>96.95</v>
    <v>Oil &amp; Gas</v>
    <v>Stock</v>
    <v>45869.653980878909</v>
    <v>81</v>
    <v>95.26</v>
    <v>120635899600</v>
    <v>CONOCOPHILLIPS</v>
    <v>CONOCOPHILLIPS</v>
    <v>95.4</v>
    <v>12.1297</v>
    <v>96.67</v>
    <v>95.56</v>
    <v>1262410000</v>
    <v>COP</v>
    <v>CONOCOPHILLIPS (XNYS:COP)</v>
    <v>1259301</v>
    <v>6294280</v>
    <v>2001</v>
  </rv>
  <rv s="2">
    <v>82</v>
  </rv>
  <rv s="0">
    <v>https://www.bing.com/financeapi/forcetrigger?t=a1nkur&amp;q=XNAS%3aAPA&amp;form=skydnc</v>
    <v>Learn more on Bing</v>
  </rv>
  <rv s="1">
    <v>0</v>
    <v>APA CORPORATION (XNAS:APA)</v>
    <v>2</v>
    <v>3</v>
    <v>Finance</v>
    <v>4</v>
    <v>en-US</v>
    <v>a1nkur</v>
    <v>268435456</v>
    <v>1</v>
    <v>Powered by Refinitiv</v>
    <v>33.409999999999997</v>
    <v>13.584</v>
    <v>1.2304999999999999</v>
    <v>-0.29530000000000001</v>
    <v>-1.5159000000000001E-2</v>
    <v>USD</v>
    <v>APA Corporation is an independent energy company. The Company owns subsidiaries that explore for and produce oil and natural gas in the United States, Egypt, and the United Kingdom, and that explore for oil and natural gas offshore Suriname. The Company’s upstream business has oil and gas operations in three geographic areas: the United States, Egypt and offshore the United Kingdom in the North Sea (North Sea). It also has active exploration and appraisal operations ongoing in Suriname, as well as interests in Uruguay and other international locations. It maintains a diversified asset portfolio, including conventional and unconventional, onshore and offshore, oil and natural gas exploration and production interests. In the United States, operations are primarily focused on the Permian Basin of West Texas. The Company has conventional onshore assets in Egypt’s Western Desert, and offshore assets on the United Kingdom’s Continental Shelf.</v>
    <v>2305</v>
    <v>Nasdaq Stock Market</v>
    <v>XNAS</v>
    <v>XNAS</v>
    <v>2000 W Sam Houston Pkwy S, Suite 200, HOUSTON, TX, 77042 US</v>
    <v>19.670000000000002</v>
    <v>Oil &amp; Gas</v>
    <v>Stock</v>
    <v>45869.653971955471</v>
    <v>84</v>
    <v>19.100000000000001</v>
    <v>6922704989</v>
    <v>APA CORPORATION</v>
    <v>APA CORPORATION</v>
    <v>19.100000000000001</v>
    <v>6.9336000000000002</v>
    <v>19.48</v>
    <v>19.184699999999999</v>
    <v>360845100</v>
    <v>APA</v>
    <v>APA CORPORATION (XNAS:APA)</v>
    <v>2317664</v>
    <v>6122252</v>
    <v>2021</v>
  </rv>
  <rv s="2">
    <v>85</v>
  </rv>
  <rv s="0">
    <v>https://www.bing.com/financeapi/forcetrigger?t=a1undm&amp;q=XNYS%3aDINO&amp;form=skydnc</v>
    <v>Learn more on Bing</v>
  </rv>
  <rv s="1">
    <v>0</v>
    <v>HF SINCLAIR CORPORATION (XNYS:DINO)</v>
    <v>2</v>
    <v>3</v>
    <v>Finance</v>
    <v>4</v>
    <v>en-US</v>
    <v>a1undm</v>
    <v>268435456</v>
    <v>1</v>
    <v>Powered by Refinitiv</v>
    <v>52.88</v>
    <v>24.66</v>
    <v>0.9365</v>
    <v>0.28999999999999998</v>
    <v>6.6769999999999998E-3</v>
    <v>USD</v>
    <v>HF Sinclair Corporation is an independent energy company that produces and markets light products, such as gasoline, diesel fuel, jet fuel, renewable diesel and other specialty products. Its segments include Refining, Renewables, Marketing, Lubricants &amp; Specialties, and Midstream. The Refining segment includes the operations of its El Dorado, Tulsa, Puget Sound, Navajo, Woods Cross, Parco and Casper Refineries and Asphalt. The Renewables segment includes the operations of the Artesia, Cheyenne and Sinclair RDUs and the Artesia PTU. The Marketing segment includes branded fuel sales. The Lubricants &amp; Specialties segment includes the operations of its Petro-Canada Lubricants, Red Giant Oil and Sonneborn businesses in addition to specialty lubricant products produced at its Tulsa West refinery. The Midstream segment includes petroleum product and crude pipelines, terminal, tankage and loading rack facilities, and refinery processing units that primarily support its refining operations.</v>
    <v>5297</v>
    <v>New York Stock Exchange</v>
    <v>XNYS</v>
    <v>XNYS</v>
    <v>2323 Victory Avenue, Suite 1400, DALLAS, TX, 75219 US</v>
    <v>44.674999999999997</v>
    <v>Oil &amp; Gas</v>
    <v>Stock</v>
    <v>45869.654041978909</v>
    <v>87</v>
    <v>43.34</v>
    <v>8237276456</v>
    <v>HF SINCLAIR CORPORATION</v>
    <v>HF SINCLAIR CORPORATION</v>
    <v>44.295000000000002</v>
    <v>0</v>
    <v>43.43</v>
    <v>43.72</v>
    <v>188409800</v>
    <v>DINO</v>
    <v>HF SINCLAIR CORPORATION (XNYS:DINO)</v>
    <v>1132820</v>
    <v>2342400</v>
    <v>2021</v>
  </rv>
  <rv s="2">
    <v>88</v>
  </rv>
  <rv s="0">
    <v>https://www.bing.com/financeapi/forcetrigger?t=a1zez2&amp;q=XNYS%3aOXY&amp;form=skydnc</v>
    <v>Learn more on Bing</v>
  </rv>
  <rv s="1">
    <v>0</v>
    <v>OCCIDENTAL PETROLEUM CORPORATION (XNYS:OXY)</v>
    <v>2</v>
    <v>3</v>
    <v>Finance</v>
    <v>4</v>
    <v>en-US</v>
    <v>a1zez2</v>
    <v>268435456</v>
    <v>1</v>
    <v>Powered by Refinitiv</v>
    <v>61.35</v>
    <v>34.784999999999997</v>
    <v>0.91490000000000005</v>
    <v>-0.32</v>
    <v>-7.2060000000000006E-3</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44.8</v>
    <v>Oil &amp; Gas</v>
    <v>Stock</v>
    <v>45869.653997407033</v>
    <v>90</v>
    <v>43.91</v>
    <v>43390410743</v>
    <v>OCCIDENTAL PETROLEUM CORPORATION</v>
    <v>OCCIDENTAL PETROLEUM CORPORATION</v>
    <v>44.1</v>
    <v>17.8748</v>
    <v>44.41</v>
    <v>44.09</v>
    <v>984132700</v>
    <v>OXY</v>
    <v>OCCIDENTAL PETROLEUM CORPORATION (XNYS:OXY)</v>
    <v>2154138</v>
    <v>10917207</v>
    <v>1986</v>
  </rv>
  <rv s="2">
    <v>91</v>
  </rv>
  <rv s="0">
    <v>https://www.bing.com/financeapi/forcetrigger?t=a1yhw7&amp;q=XNYS%3aNGS&amp;form=skydnc</v>
    <v>Learn more on Bing</v>
  </rv>
  <rv s="1">
    <v>0</v>
    <v>NATURAL GAS SERVICES GROUP, INC. (XNYS:NGS)</v>
    <v>2</v>
    <v>3</v>
    <v>Finance</v>
    <v>4</v>
    <v>en-US</v>
    <v>a1yhw7</v>
    <v>268435456</v>
    <v>1</v>
    <v>Powered by Refinitiv</v>
    <v>29.74</v>
    <v>16.7</v>
    <v>0.65780000000000005</v>
    <v>-4.0099999999999997E-2</v>
    <v>-1.658E-3</v>
    <v>USD</v>
    <v>Natural Gas Services Group, Inc. is a provider of natural gas compression equipment, technology, and services to the energy industry. The Company rents, operates and maintains natural gas compressors for oil and gas production and processing facilities. In addition, the Company designs and assembles compressor units for rental to its customers and provides aftermarket services in the form of call-out services on customer-owned equipment, as well as commissioning of new units for customers. Its rental compression units provide large, medium and small horsepower applications for conventional and unconventional oil and gas production. It also provides an exchange and rebuilds program for small horsepower screw compressors and maintains an inventory of new and used compressors to facilitate this part of its business. It has approximately 1,912 natural gas compressors in its rental fleet, totaling 598,840 horsepower.</v>
    <v>245</v>
    <v>New York Stock Exchange</v>
    <v>XNYS</v>
    <v>XNYS</v>
    <v>404 Veterans Airpark Lane, Suite 300, MIDLAND, TX, 79705 US</v>
    <v>24.524999999999999</v>
    <v>Oil &amp; Gas Related Equipment and Services</v>
    <v>Stock</v>
    <v>45869.652009536716</v>
    <v>93</v>
    <v>23.841100000000001</v>
    <v>302471257</v>
    <v>NATURAL GAS SERVICES GROUP, INC.</v>
    <v>NATURAL GAS SERVICES GROUP, INC.</v>
    <v>24.12</v>
    <v>17.861599999999999</v>
    <v>24.18</v>
    <v>24.139900000000001</v>
    <v>12529930</v>
    <v>NGS</v>
    <v>NATURAL GAS SERVICES GROUP, INC. (XNYS:NGS)</v>
    <v>9713</v>
    <v>58578</v>
    <v>1998</v>
  </rv>
  <rv s="2">
    <v>94</v>
  </rv>
  <rv s="0">
    <v>https://www.bing.com/financeapi/forcetrigger?t=a21icw&amp;q=XNAS%3aPYPL&amp;form=skydnc</v>
    <v>Learn more on Bing</v>
  </rv>
  <rv s="1">
    <v>0</v>
    <v>PAYPAL HOLDINGS, INC. (XNAS:PYPL)</v>
    <v>2</v>
    <v>3</v>
    <v>Finance</v>
    <v>4</v>
    <v>en-US</v>
    <v>a21icw</v>
    <v>268435456</v>
    <v>1</v>
    <v>Powered by Refinitiv</v>
    <v>93.66</v>
    <v>55.85</v>
    <v>1.4205000000000001</v>
    <v>-0.38</v>
    <v>-5.4510000000000001E-3</v>
    <v>USD</v>
    <v>PayPal Holdings, Inc. offers a technology platform. The Company’s products are designed to enable digital payments and simplify commerce experiences for consumers and merchants to make selling, shopping, and sending and receiving money simple, personalized, and secure, online or offline, including mobile. It provides consumers with a digital wallet that enables them to send payments to merchants securely using a variety of funding sources, which include a bank account, a PayPal or Venmo account balance, its consumer credit products, a credit card, a debit card, certain cryptocurrencies, or other stored value products. It operates a global, two-sided network at scale that connects consumers and merchants with 434 million active accounts across approximately 200 markets. Its brands include PayPal, Braintree, Venmo, Xoom, Hyperwallet, PayPal Zettle, PayPal Honey, and Paidy. It offers financing products through the PayPal Working Capital (PPWC) and PayPal Business Loan (PPBL).</v>
    <v>24400</v>
    <v>Nasdaq Stock Market</v>
    <v>XNAS</v>
    <v>XNAS</v>
    <v>2211 N 1st St, SAN JOSE, CA, 95131 US</v>
    <v>70.054599999999994</v>
    <v>Professional &amp; Commercial Services</v>
    <v>Stock</v>
    <v>45869.65398377266</v>
    <v>96</v>
    <v>68.819999999999993</v>
    <v>66236384472</v>
    <v>PAYPAL HOLDINGS, INC.</v>
    <v>PAYPAL HOLDINGS, INC.</v>
    <v>69.38</v>
    <v>14.8363</v>
    <v>69.709999999999994</v>
    <v>69.33</v>
    <v>955378400</v>
    <v>PYPL</v>
    <v>PAYPAL HOLDINGS, INC. (XNAS:PYPL)</v>
    <v>6443999</v>
    <v>11215562</v>
    <v>2015</v>
  </rv>
  <rv s="2">
    <v>97</v>
  </rv>
  <rv s="6">
    <v>10</v>
    <v>NEXTRACKER INC. (XNAS:NXT)</v>
    <v>11</v>
    <v>3</v>
    <v>Finance</v>
    <v>4</v>
    <v>en-US</v>
    <v>c8ssgh</v>
    <v>268435456</v>
    <v>1</v>
    <v>Powered by Refinitiv</v>
    <v>67.868899999999996</v>
    <v>30.93</v>
    <v>1.506</v>
    <v>-1.1200000000000001</v>
    <v>-1.9021999999999997E-2</v>
    <v>USD</v>
    <v>Nextracker Inc. is a solar technology platform provider. The Company delivers a global solar power technology platform with integrated tracker, electrical solutions, and yield optimization and control systems for utility-scale and distributed generation projects. Its advanced technology enables solar power plants to follow the sun’s movement across the sky and optimize performance. With systems operating in more than 40 countries worldwide, it offers solutions that accelerate solar power plant construction, increase energy output, and enhance long-term reliability. Its products and services include NX Horizon, NX Foundation, Electrical Balance of System (eBOS), TrueCapture, NX Navigator, NX Global Services and PowerworX. Its solutions include agrivoltaics, module compatibility, mitigating extreme weather risk and intelligent monitoring. Its artificial intelligence (AI) and robotics business includes SenseHawk IP and Amir Robotics.</v>
    <v>1300</v>
    <v>Nasdaq Stock Market</v>
    <v>XNAS</v>
    <v>XNAS</v>
    <v>6200 Paseo Padre Pkwy, FREMONT, CA, 94555 US</v>
    <v>60.89</v>
    <v>Renewable Energy</v>
    <v>Stock</v>
    <v>45869.654026157034</v>
    <v>57.402700000000003</v>
    <v>8538834080</v>
    <v>NEXTRACKER INC.</v>
    <v>NEXTRACKER INC.</v>
    <v>59.19</v>
    <v>15.7453</v>
    <v>58.88</v>
    <v>57.76</v>
    <v>147833000</v>
    <v>NXT</v>
    <v>NEXTRACKER INC. (XNAS:NXT)</v>
    <v>1124853</v>
    <v>2741187</v>
    <v>2022</v>
  </rv>
  <rv s="2">
    <v>99</v>
  </rv>
  <rv s="0">
    <v>https://www.bing.com/financeapi/forcetrigger?t=a1y4oc&amp;q=XNAS%3aMU&amp;form=skydnc</v>
    <v>Learn more on Bing</v>
  </rv>
  <rv s="1">
    <v>0</v>
    <v>MICRON TECHNOLOGY, INC. (XNAS:MU)</v>
    <v>2</v>
    <v>3</v>
    <v>Finance</v>
    <v>4</v>
    <v>en-US</v>
    <v>a1y4oc</v>
    <v>268435456</v>
    <v>1</v>
    <v>Powered by Refinitiv</v>
    <v>129.85</v>
    <v>61.54</v>
    <v>1.3738999999999999</v>
    <v>-5.33</v>
    <v>-4.6452999999999994E-2</v>
    <v>USD</v>
    <v>Micron Technology, Inc. provides memory and storage solutions. The Company delivers a portfolio of high-performance dynamic random-access memory (DRAM), NAND, and NOR memory and storage products through its Micron and Crucial brands. The Company's products enable advancing in artificial intelligence (AI) and compute-intensive applications. Its segments include Compute and Networking Business Unit (CNBU), Mobile Business Unit (MBU), Embedded Business Unit (EBU), and Storage Business Unit (SBU). CNBU segment includes memory products and solutions sold into the data center, PC, graphics, and networking markets. MBU segment includes memory and storage products sold into the smartphone and other mobile-device markets. EBU segment includes memory and storage products and solutions sold into the intelligent edge through the automotive, industrial, and consumer embedded markets. SBU segment includes SSDs and component-level storage solutions sold into the data center, PC, and consumer markets.</v>
    <v>48000</v>
    <v>Nasdaq Stock Market</v>
    <v>XNAS</v>
    <v>XNAS</v>
    <v>8000 S Federal Way, Po Box 6, BOISE, ID, 83716-9632 US</v>
    <v>112.19</v>
    <v>Semiconductors &amp; Semiconductor Equipment</v>
    <v>Stock</v>
    <v>45869.653975265624</v>
    <v>101</v>
    <v>108.45</v>
    <v>122443466250</v>
    <v>MICRON TECHNOLOGY, INC.</v>
    <v>MICRON TECHNOLOGY, INC.</v>
    <v>112.19</v>
    <v>19.833200000000001</v>
    <v>114.74</v>
    <v>109.41</v>
    <v>1119125000</v>
    <v>MU</v>
    <v>MICRON TECHNOLOGY, INC. (XNAS:MU)</v>
    <v>13309951</v>
    <v>24739648</v>
    <v>1984</v>
  </rv>
  <rv s="2">
    <v>102</v>
  </rv>
  <rv s="0">
    <v>http://en.wikipedia.org/wiki/Qualcomm</v>
    <v>Wikipedia</v>
  </rv>
  <rv s="3">
    <v>3</v>
    <v>104</v>
  </rv>
  <rv s="4">
    <v>9</v>
    <v>https://www.bing.com/th?id=AMMS_2b1c176dae370ecc0d55a1517537f595&amp;qlt=95</v>
    <v>105</v>
    <v>0</v>
    <v>https://www.bing.com/images/search?form=xlimg&amp;q=qualcomm</v>
    <v>Image of QUALCOMM INCORPORATED</v>
  </rv>
  <rv s="0">
    <v>https://www.bing.com/financeapi/forcetrigger?t=a21k2w&amp;q=XNAS%3aQCOM&amp;form=skydnc</v>
    <v>Learn more on Bing</v>
  </rv>
  <rv s="5">
    <v>5</v>
    <v>QUALCOMM INCORPORATED (XNAS:QCOM)</v>
    <v>7</v>
    <v>8</v>
    <v>Finance</v>
    <v>4</v>
    <v>en-US</v>
    <v>a21k2w</v>
    <v>268435456</v>
    <v>1</v>
    <v>Powered by Refinitiv</v>
    <v>182.1</v>
    <v>120.8019</v>
    <v>1.2329000000000001</v>
    <v>-9.11</v>
    <v>-5.7274000000000005E-2</v>
    <v>USD</v>
    <v>Qualcomm Incorporated is engaged in the development and commercialization of foundational technologies for the wireless industry, including third generation (3G), fourth generation (4G) and fifth generation (5G) wireless connectivity, and high-performance and low-power computing, including on-device artificial intelligence. Its segments include Qualcomm CDMA Technologies (QCT), Qualcomm Technology Licensing (QTL) and Qualcomm Strategic Initiatives. QCT develops and supplies integrated circuits and system software based on 3G/4G/5G and other technologies, including radio frequency front-end, digital cockpit and advanced driver assistance and automated driving, Internet of things including consumer electronic devices, industrial devices and edge networking products. QTL grants licenses or otherwise provides rights to use portions of its intellectual property portfolio that includes certain patent rights essential to and/or useful in the manufacture and sale of certain wireless products.</v>
    <v>49000</v>
    <v>Nasdaq Stock Market</v>
    <v>XNAS</v>
    <v>XNAS</v>
    <v>5775 Morehouse Drive, SAN DIEGO, CA, 92121 US</v>
    <v>156.79</v>
    <v>106</v>
    <v>Semiconductors &amp; Semiconductor Equipment</v>
    <v>Stock</v>
    <v>45869.654058645312</v>
    <v>107</v>
    <v>149.66</v>
    <v>161767409550</v>
    <v>QUALCOMM INCORPORATED</v>
    <v>QUALCOMM INCORPORATED</v>
    <v>153.11000000000001</v>
    <v>15.309100000000001</v>
    <v>159.06</v>
    <v>149.94999999999999</v>
    <v>1078809000</v>
    <v>QCOM</v>
    <v>QUALCOMM INCORPORATED (XNAS:QCOM)</v>
    <v>9438801</v>
    <v>7769561</v>
    <v>1991</v>
  </rv>
  <rv s="2">
    <v>108</v>
  </rv>
  <rv s="0">
    <v>https://www.bing.com/financeapi/forcetrigger?t=a1mt9c&amp;q=XNAS%3aACLS&amp;form=skydnc</v>
    <v>Learn more on Bing</v>
  </rv>
  <rv s="1">
    <v>0</v>
    <v>AXCELIS TECHNOLOGIES, INC. (XNAS:ACLS)</v>
    <v>2</v>
    <v>3</v>
    <v>Finance</v>
    <v>4</v>
    <v>en-US</v>
    <v>a1mt9c</v>
    <v>268435456</v>
    <v>1</v>
    <v>Powered by Refinitiv</v>
    <v>127.88</v>
    <v>40.4</v>
    <v>1.5795999999999999</v>
    <v>-4.2</v>
    <v>-5.7621000000000006E-2</v>
    <v>USD</v>
    <v>Axcelis Technologies, Inc. provides high-productivity solutions for the semiconductor industry. The Company is focused on developing enabling process applications through the design, manufacture and complete life cycle support of ion implantation systems, one of the critical and enabling steps in the IC manufacturing process. Its ion implantation products include high current ion implant, high energy ion implant and medium current ion implant. The Company's Purion H, Purion Dragon, Purion H200, and GSD/E2 Ovation spot beam, high current systems cover all traditional high current requirements as well as those associated with emerging and future devices. Its Purion XE, EXE, and other Purion high energy systems combine its production-proven RF Linac high energy, spot beam technology with the Purion platform wafer handling system. Its medium current ion implant products include its Purion M Si and SiC medium current systems. It also offers its customers aftermarket service and support.</v>
    <v>1524</v>
    <v>Nasdaq Stock Market</v>
    <v>XNAS</v>
    <v>XNAS</v>
    <v>108 Cherry Hill Dr, BEVERLY, MA, 01915 US</v>
    <v>71.180000000000007</v>
    <v>Semiconductors &amp; Semiconductor Equipment</v>
    <v>Stock</v>
    <v>45869.653807719529</v>
    <v>110</v>
    <v>67.16</v>
    <v>2206978102</v>
    <v>AXCELIS TECHNOLOGIES, INC.</v>
    <v>AXCELIS TECHNOLOGIES, INC.</v>
    <v>71.180000000000007</v>
    <v>12.5785</v>
    <v>72.89</v>
    <v>68.69</v>
    <v>32129540</v>
    <v>ACLS</v>
    <v>AXCELIS TECHNOLOGIES, INC. (XNAS:ACLS)</v>
    <v>290605</v>
    <v>470274</v>
    <v>1995</v>
  </rv>
  <rv s="2">
    <v>111</v>
  </rv>
  <rv s="0">
    <v>https://www.bing.com/financeapi/forcetrigger?t=a244ur&amp;q=XNAS%3aTER&amp;form=skydnc</v>
    <v>Learn more on Bing</v>
  </rv>
  <rv s="1">
    <v>0</v>
    <v>TERADYNE, INC. (XNAS:TER)</v>
    <v>2</v>
    <v>3</v>
    <v>Finance</v>
    <v>4</v>
    <v>en-US</v>
    <v>a244ur</v>
    <v>268435456</v>
    <v>1</v>
    <v>Powered by Refinitiv</v>
    <v>144.16</v>
    <v>65.77</v>
    <v>1.7211000000000001</v>
    <v>1.05</v>
    <v>9.7540000000000005E-3</v>
    <v>USD</v>
    <v>Teradyne, Inc. is a global supplier of automated test equipment and robotics solutions. The Company designs, develops, manufactures and sells automated test systems and robotics products. The Company’s segment includes Semiconductor Test and Robotics. The Semiconductor Test segment includes operations related to the design, manufacturing and marketing of semiconductor test products and services inclusive of storage and system level test products. The Robotics segment includes operations related to the design, manufacturing and marketing of collaborative robotic arms and autonomous mobile robots. Its offerings also include defense/aerospace test instrumentation and systems, circuit-board test and inspection (production board test) systems, and wireless test systems. Its advanced robotics business includes collaborative robots and mobile robots that support manufacturing and warehouse operations for companies of all sizes.</v>
    <v>6500</v>
    <v>Nasdaq Stock Market</v>
    <v>XNAS</v>
    <v>XNAS</v>
    <v>600 Riverpark Dr, NORTH READING, MA, 01864-2634 US</v>
    <v>113.41</v>
    <v>Semiconductors &amp; Semiconductor Equipment</v>
    <v>Stock</v>
    <v>45869.65396695547</v>
    <v>113</v>
    <v>107.15</v>
    <v>17437686610</v>
    <v>TERADYNE, INC.</v>
    <v>TERADYNE, INC.</v>
    <v>108.5</v>
    <v>37.705100000000002</v>
    <v>107.65</v>
    <v>108.7</v>
    <v>160420300</v>
    <v>TER</v>
    <v>TERADYNE, INC. (XNAS:TER)</v>
    <v>3479075</v>
    <v>4230150</v>
    <v>1960</v>
  </rv>
  <rv s="2">
    <v>114</v>
  </rv>
  <rv s="0">
    <v>http://es.wikipedia.org/wiki/Adobe_(empresa)</v>
    <v>Wikipedia</v>
  </rv>
  <rv s="3">
    <v>3</v>
    <v>116</v>
  </rv>
  <rv s="4">
    <v>9</v>
    <v>https://www.bing.com/th?id=AMMS_503c684ccc667ad525fe1d703881df2c&amp;qlt=95</v>
    <v>117</v>
    <v>0</v>
    <v>https://www.bing.com/images/search?form=xlimg&amp;q=adobe+systems</v>
    <v>Image of ADOBE INC.</v>
  </rv>
  <rv s="0">
    <v>https://www.bing.com/financeapi/forcetrigger?t=a1mv7w&amp;q=XNAS%3aADBE&amp;form=skydnc</v>
    <v>Learn more on Bing</v>
  </rv>
  <rv s="5">
    <v>5</v>
    <v>ADOBE INC. (XNAS:ADBE)</v>
    <v>7</v>
    <v>8</v>
    <v>Finance</v>
    <v>4</v>
    <v>en-US</v>
    <v>a1mv7w</v>
    <v>268435456</v>
    <v>1</v>
    <v>Powered by Refinitiv</v>
    <v>587.75</v>
    <v>332.01</v>
    <v>1.5154000000000001</v>
    <v>-3.4899</v>
    <v>-9.5879999999999993E-3</v>
    <v>USD</v>
    <v>Adobe Inc. is a global technology company. The Company's products, services and solutions are used around the world to imagine, create, manage, deliver, measure, optimize and engage with content across surfaces and fuel digital experiences. Its segments include Digital Media, Digital Experience, and Publishing and Advertising. The Digital Media segment is centered around Adobe Creative Cloud and Adobe Document Cloud, which include Adobe Express, Adobe Firefly, Photoshop and other products, offering a variety of tools for creative professionals, communicators and other consumers. The Digital Experience segment provides an integrated platform and set of products, services and solutions through Adobe Experience Cloud. The Publishing and Advertising segment contains legacy products and services. In addition, its Adobe GenStudio solution allows businesses to simplify their content supply chain process with generative artificial intelligence (AI) capabilities and intelligent automation.</v>
    <v>30709</v>
    <v>Nasdaq Stock Market</v>
    <v>XNAS</v>
    <v>XNAS</v>
    <v>345 Park Avenue, SAN JOSE, CA, 95110-2704 US</v>
    <v>362.5</v>
    <v>118</v>
    <v>Software &amp; IT Services</v>
    <v>Stock</v>
    <v>45869.654003321091</v>
    <v>119</v>
    <v>354.27</v>
    <v>152928384420</v>
    <v>ADOBE INC.</v>
    <v>ADOBE INC.</v>
    <v>362.26</v>
    <v>23.071300000000001</v>
    <v>364</v>
    <v>360.51010000000002</v>
    <v>424200000</v>
    <v>ADBE</v>
    <v>ADOBE INC. (XNAS:ADBE)</v>
    <v>1688054</v>
    <v>3509909</v>
    <v>1997</v>
  </rv>
  <rv s="2">
    <v>120</v>
  </rv>
  <rv s="0">
    <v>https://www.bing.com/financeapi/forcetrigger?t=a1u3rw&amp;q=XNAS%3aGOOGL&amp;form=skydnc</v>
    <v>Learn more on Bing</v>
  </rv>
  <rv s="1">
    <v>0</v>
    <v>ALPHABET INC. (XNAS:GOOGL)</v>
    <v>2</v>
    <v>3</v>
    <v>Finance</v>
    <v>4</v>
    <v>en-US</v>
    <v>a1u3rw</v>
    <v>268435456</v>
    <v>1</v>
    <v>Powered by Refinitiv</v>
    <v>207.05</v>
    <v>140.53</v>
    <v>1.0178</v>
    <v>-3.63</v>
    <v>-1.847E-2</v>
    <v>USD</v>
    <v>Alphabet Inc. is a holding company. The Company's segments include Google Services, Google Cloud, and Other Bets. The Google Services segment includes products and services such as ads, Android, Chrome, devices, Google Maps, Google Play, Search, and YouTube. The Google Cloud segment includes infrastructure and platform services, collaboration tools, and other services for enterprise customers. Its Other Bets segment is engaged in the sale of healthcare-related services and Internet services. Its Google Cloud provides enterprise-ready cloud services, including Google Cloud Platform and Google Workspace. Google Cloud Platform provides access to solutions such as artificial intelligence (AI) offerings, including its AI infrastructure, Vertex AI platform, and Gemini for Google Cloud; cybersecurity, and data and analytics. Google Workspace includes cloud-based communication and collaboration tools for enterprises, such as Calendar, Gmail, Docs, Drive, and Meet.</v>
    <v>187103</v>
    <v>Nasdaq Stock Market</v>
    <v>XNAS</v>
    <v>XNAS</v>
    <v>1600 Amphitheatre Parkway, MOUNTAIN VIEW, CA, 94043 US</v>
    <v>195.99</v>
    <v>Software &amp; IT Services</v>
    <v>Stock</v>
    <v>45869.653975046094</v>
    <v>122</v>
    <v>191.2</v>
    <v>2381775000000</v>
    <v>ALPHABET INC.</v>
    <v>ALPHABET INC.</v>
    <v>195.72</v>
    <v>20.5412</v>
    <v>196.53</v>
    <v>192.9</v>
    <v>12094000000</v>
    <v>GOOGL</v>
    <v>ALPHABET INC. (XNAS:GOOGL)</v>
    <v>24167790</v>
    <v>41903203</v>
    <v>2015</v>
  </rv>
  <rv s="2">
    <v>123</v>
  </rv>
  <rv s="0">
    <v>https://www.bing.com/financeapi/forcetrigger?t=aql8bh&amp;q=XTAE%3aSFET&amp;form=skydnc</v>
    <v>Learn more on Bing</v>
  </rv>
  <rv s="7">
    <v>12</v>
    <v>ALARUM TECHNOLOGIES LTD (XTAE:ALAR)</v>
    <v>2</v>
    <v>13</v>
    <v>Finance</v>
    <v>14</v>
    <v>en-US</v>
    <v>aql8bh</v>
    <v>268435456</v>
    <v>1</v>
    <v>Powered by Refinitiv</v>
    <v>1730</v>
    <v>8</v>
    <v>0.91830000000000001</v>
    <v>13.7</v>
    <v>3.3826999999999996E-2</v>
    <v>ILa</v>
    <v>Alarum Technologies Ltd, formerly known as Safe-T Group Ltd, is an Israel-based company engaged primarily in the provision of data collection software for enterprises. The Company operates two business segments: the Enterprise Internet Access and Web Data Collection segment and the Consumer Internet Access Solutions and Services segment. In the Enterprise Internet Access and Web Data Collection segment, the Company offers a Web Data Collection Service for enterprises that is based on the Company's proxy traffic optimization and routing technology, as well as partnership agreements with Internet providers. In the Consumer Internet Access Solutions and Services segment, the Company offers secured and encrypted connections for individual customers. The Company operates on a Software as a Service (SaaS) business model, offering its software on a fee basis.</v>
    <v>65</v>
    <v>Tel Aviv Stock Exchange</v>
    <v>XTAE</v>
    <v>XTAE</v>
    <v>30 Haarba'a, P.O.Box 174, HERZLIYA, 6473926 IL</v>
    <v>422</v>
    <v>Software &amp; IT Services</v>
    <v>Stock</v>
    <v>45869.600162037037</v>
    <v>125</v>
    <v>389</v>
    <v>287650200</v>
    <v>ALARUM TECHNOLOGIES LTD</v>
    <v>ALARUM TECHNOLOGIES LTD</v>
    <v>392.1</v>
    <v>405</v>
    <v>418.7</v>
    <v>70678120</v>
    <v>ALAR</v>
    <v>ALARUM TECHNOLOGIES LTD (XTAE:ALAR)</v>
    <v>613489</v>
    <v>351990</v>
    <v>1989</v>
  </rv>
  <rv s="2">
    <v>126</v>
  </rv>
  <rv s="0">
    <v>https://www.bing.com/financeapi/forcetrigger?t=c6rdp2&amp;q=XNAS%3aGCT&amp;form=skydnc</v>
    <v>Learn more on Bing</v>
  </rv>
  <rv s="1">
    <v>0</v>
    <v>GigaCloud Technology Inc (XNAS:GCT)</v>
    <v>2</v>
    <v>3</v>
    <v>Finance</v>
    <v>4</v>
    <v>en-US</v>
    <v>c6rdp2</v>
    <v>268435456</v>
    <v>1</v>
    <v>Powered by Refinitiv</v>
    <v>29.94</v>
    <v>11.17</v>
    <v>1.7869999999999999</v>
    <v>-0.23719999999999999</v>
    <v>-1.0471999999999999E-2</v>
    <v>USD</v>
    <v>GigaCloud Technology Inc specializes in global end-to-end business to business (B2B) technology solutions for large parcel merchandise. The Company’s B2B e-commerce platform, the GigaCloud Marketplace, integrates everything from discovery, payments and logistics tools into one easy-to-use platform. Its global marketplace connects manufacturers, primarily in Asia, with resellers, primarily in the United States, Asia and Europe, to execute cross-border transactions. The Company offers a comprehensive solution that transports products from the manufacturer’s warehouse to the end customer’s doorstep, all at one fixed price. The GigaCloud Marketplace offers SKUs across furniture, home appliances, fitness equipment and other large parcel categories from its active 3P sellers. Its operations include GigaCloud 3P, GigaCloud 1P and Off-platform Ecommerce. Its GigaCloud 3P operation includes platform commission, ocean transportation service, warehousing service, packaging service and others.</v>
    <v>1561</v>
    <v>Nasdaq Stock Market</v>
    <v>XNAS</v>
    <v>XNAS</v>
    <v>4388 Shirley Avenue, EL MONTE, CA, 91731 US</v>
    <v>22.78</v>
    <v>Software &amp; IT Services</v>
    <v>Stock</v>
    <v>45869.654008599216</v>
    <v>128</v>
    <v>22.21</v>
    <v>853220780</v>
    <v>GigaCloud Technology Inc</v>
    <v>GigaCloud Technology Inc</v>
    <v>22.62</v>
    <v>7.3125</v>
    <v>22.65</v>
    <v>22.412800000000001</v>
    <v>38068460</v>
    <v>GCT</v>
    <v>GigaCloud Technology Inc (XNAS:GCT)</v>
    <v>140242</v>
    <v>661066</v>
    <v>2006</v>
  </rv>
  <rv s="2">
    <v>129</v>
  </rv>
  <rv s="0">
    <v>https://www.bing.com/financeapi/forcetrigger?t=a21d7w&amp;q=XNAS%3aPTC&amp;form=skydnc</v>
    <v>Learn more on Bing</v>
  </rv>
  <rv s="1">
    <v>0</v>
    <v>PTC INC. (XNAS:PTC)</v>
    <v>2</v>
    <v>3</v>
    <v>Finance</v>
    <v>4</v>
    <v>en-US</v>
    <v>a21d7w</v>
    <v>268435456</v>
    <v>1</v>
    <v>Powered by Refinitiv</v>
    <v>219.69</v>
    <v>133.38</v>
    <v>1.1761999999999999</v>
    <v>16.795000000000002</v>
    <v>8.2934000000000008E-2</v>
    <v>USD</v>
    <v>PTC Inc. is a global software company that enables industrial and manufacturing companies to digitally transform how they engineer, manufacture, and service the physical products. Its computer-aided design (CAD) portfolio solutions enable companies to author product data. Its product lifecycle management (PLM) portfolio solutions enable companies to manage product data and orchestrate processes. Its software can be delivered on premises, in the cloud or in a hybrid model. Its PLM products and services include Windchill PLM, ThingWorx, ServiceMax, Arena, Codebeamer, Servigistics, FlexPLM and Kepware. Its CAD products and services include Creo 3D, Onshape, Vuforia and Arbortext. Its Windchill PLM application suite manages all aspects of the product development lifecycle-from concept through service and retirement-by enabling a digital thread of product parts, materials and configuration information. Its ThingWorx platform is flexible and purpose-built for industrial Internet of things.</v>
    <v>7501</v>
    <v>Nasdaq Stock Market</v>
    <v>XNAS</v>
    <v>XNAS</v>
    <v>121 Seaport Blvd., BOSTON, MA, 02210 US</v>
    <v>219.69</v>
    <v>Software &amp; IT Services</v>
    <v>Stock</v>
    <v>45869.65398350625</v>
    <v>131</v>
    <v>208</v>
    <v>24290640000</v>
    <v>PTC INC.</v>
    <v>PTC INC.</v>
    <v>214.42</v>
    <v>51.700899999999997</v>
    <v>202.51</v>
    <v>219.30500000000001</v>
    <v>119947900</v>
    <v>PTC</v>
    <v>PTC INC. (XNAS:PTC)</v>
    <v>984795</v>
    <v>1404484</v>
    <v>1985</v>
  </rv>
  <rv s="2">
    <v>132</v>
  </rv>
  <rv s="0">
    <v>https://www.bing.com/financeapi/forcetrigger?t=a1nikr&amp;q=XNYS%3aANF&amp;form=skydnc</v>
    <v>Learn more on Bing</v>
  </rv>
  <rv s="1">
    <v>0</v>
    <v>ABERCROMBIE &amp; FITCH CO. (XNYS:ANF)</v>
    <v>2</v>
    <v>3</v>
    <v>Finance</v>
    <v>4</v>
    <v>en-US</v>
    <v>a1nikr</v>
    <v>268435456</v>
    <v>1</v>
    <v>Powered by Refinitiv</v>
    <v>172.9</v>
    <v>65.400000000000006</v>
    <v>1.5424</v>
    <v>-1.925</v>
    <v>-1.9509000000000002E-2</v>
    <v>USD</v>
    <v>Abercrombie &amp; Fitch Co. is a global, digitally led omnichannel specialty retailer of apparel and accessories. The Company offers an assortment of apparel, personal care products and accessories for men, women and kids, which are sold primarily through its Company-owned stores and digital channels, as well as through various third-party arrangements. The Company’s brands include Abercrombie brands, which includes Abercrombie &amp; Fitch, abercrombie kids, and Your Personal Best (YPB), and Hollister brands, which include Hollister and Gilly Hicks. Its geographic segments include the Americas, EMEA, and APAC. The Company also offers its loyalty programs, which include Abercrombie’s myAbercrombie and Hollister’s Hollister House Rewards. The Company operates approximately 790 stores under these brands across North America, Europe, Asia and the Middle East, as well as the e-commerce sites abercrombie.com, abercrombiekids.com, and hollisterco.com.</v>
    <v>6600</v>
    <v>New York Stock Exchange</v>
    <v>XNYS</v>
    <v>XNYS</v>
    <v>6301 Fitch Path, NEW ALBANY, OH, 43054 US</v>
    <v>97.89</v>
    <v>Specialty Retailers</v>
    <v>Stock</v>
    <v>45869.653933171096</v>
    <v>134</v>
    <v>95.73</v>
    <v>4609252993</v>
    <v>ABERCROMBIE &amp; FITCH CO.</v>
    <v>ABERCROMBIE &amp; FITCH CO.</v>
    <v>97.03</v>
    <v>9.5289000000000001</v>
    <v>98.67</v>
    <v>96.745000000000005</v>
    <v>47643320</v>
    <v>ANF</v>
    <v>ABERCROMBIE &amp; FITCH CO. (XNYS:ANF)</v>
    <v>288446</v>
    <v>1970711</v>
    <v>1996</v>
  </rv>
  <rv s="2">
    <v>135</v>
  </rv>
  <rv s="0">
    <v>https://www.bing.com/financeapi/forcetrigger?t=a1pwqh&amp;q=XNAS%3aCMCSA&amp;form=skydnc</v>
    <v>Learn more on Bing</v>
  </rv>
  <rv s="1">
    <v>0</v>
    <v>COMCAST CORPORATION (XNAS:CMCSA)</v>
    <v>2</v>
    <v>3</v>
    <v>Finance</v>
    <v>4</v>
    <v>en-US</v>
    <v>a1pwqh</v>
    <v>268435456</v>
    <v>1</v>
    <v>Powered by Refinitiv</v>
    <v>45.31</v>
    <v>31.44</v>
    <v>0.9173</v>
    <v>0.755</v>
    <v>2.3231000000000002E-2</v>
    <v>USD</v>
    <v>Comcast Corporation is a global media and technology company. The Company delivers broadband, wireless, and video through Xfinity, Comcast Business, and Sky; produces, distributes, and streams entertainment, sports, and news through brands, including NBC, Telemundo, Universal, Peacock, and Sky; and brings theme parks and attractions to life through Universal Destinations &amp; Experiences. It operates through two primary businesses: Connectivity &amp; Platforms and Content &amp; Experiences. Connectivity &amp; Platforms includes its broadband, wireless, video and wireline voice businesses in the United States, United Kingdom and Italy. It also includes the operations of its Sky-branded entertainment television networks in the United Kingdom and Italy. Content &amp; Experiences includes its media and entertainment businesses that produce and distribute entertainment, sports, news and other content for global audiences and that own and operate theme parks and attractions in the United States and Asia.</v>
    <v>182000</v>
    <v>Nasdaq Stock Market</v>
    <v>XNAS</v>
    <v>XNAS</v>
    <v>One Comcast Center, PHILADELPHIA, PA, 19103-2838 US</v>
    <v>34.1</v>
    <v>Telecommunications Services</v>
    <v>Stock</v>
    <v>45869.653964363279</v>
    <v>137</v>
    <v>32.9</v>
    <v>124164326520</v>
    <v>COMCAST CORPORATION</v>
    <v>COMCAST CORPORATION</v>
    <v>34.020000000000003</v>
    <v>8.1648999999999994</v>
    <v>32.5</v>
    <v>33.255000000000003</v>
    <v>3733704000</v>
    <v>CMCSA</v>
    <v>COMCAST CORPORATION (XNAS:CMCSA)</v>
    <v>17246559</v>
    <v>19551176</v>
    <v>2001</v>
  </rv>
  <rv s="2">
    <v>138</v>
  </rv>
  <rv s="0">
    <v>https://www.bing.com/financeapi/forcetrigger?t=afgp6h&amp;q=XFRA%3aNKE&amp;form=skydnc</v>
    <v>Learn more on Bing</v>
  </rv>
  <rv s="8">
    <v>15</v>
    <v>NIKE, INC. (XFRA:NKE)</v>
    <v>2</v>
    <v>16</v>
    <v>Finance</v>
    <v>17</v>
    <v>en-US</v>
    <v>afgp6h</v>
    <v>268435456</v>
    <v>1</v>
    <v>Powered by Refinitiv</v>
    <v>1.2795000000000001</v>
    <v>-1.08</v>
    <v>-1.6107E-2</v>
    <v>EUR</v>
    <v>NIKE, Inc. is engaged in the designing, marketing and distributing of athletic footwear, apparel, equipment and accessories and services for sports and fitness activities. The Company's operating segments include North America; Europe, Middle East &amp; Africa (EMEA); Greater China; and Asia Pacific &amp; Latin America (APLA). It sells a line of equipment and accessories under the NIKE Brand name, including bags, socks, sport balls, eyewear, timepieces, digital devices, bats, gloves, protective equipment and other equipment designed for sports activities. It also designs products specifically for the Jordan Brand and Converse. The Jordan Brand designs, distributes and licenses athletic and casual footwear, apparel and accessories predominantly focused on basketball performance and culture using the Jumpman trademark. The Company also designs, distributes and licenses casual sneakers, apparel and accessories under the Chuck Taylor, All Star, One Star, Star Chevron and Jack Purcell trademarks.</v>
    <v>77800</v>
    <v>Deutsche Boerse AG</v>
    <v>XFRA</v>
    <v>XFRA</v>
    <v>One Bowerman Dr, BEAVERTON, OR, 97005-6453 US</v>
    <v>67.67</v>
    <v>Textiles &amp; Apparel</v>
    <v>Stock</v>
    <v>45869.643055555556</v>
    <v>140</v>
    <v>65.97</v>
    <v>113249000000</v>
    <v>NIKE, INC.</v>
    <v>NIKE, INC.</v>
    <v>67.040000000000006</v>
    <v>34.7211</v>
    <v>67.05</v>
    <v>65.97</v>
    <v>1476903000</v>
    <v>NKE</v>
    <v>NIKE, INC. (XFRA:NKE)</v>
    <v>1047</v>
    <v>12022230</v>
    <v>1969</v>
  </rv>
  <rv s="2">
    <v>141</v>
  </rv>
  <rv s="9">
    <v>12</v>
    <v>52 week high</v>
    <v>0</v>
  </rv>
  <rv s="9">
    <v>12</v>
    <v>52 week low</v>
    <v>0</v>
  </rv>
  <rv s="0">
    <v>https://www.bing.com/financeapi/forcetrigger?t=a1tvim&amp;q=XNAS%3aGIII&amp;form=skydnc</v>
    <v>Learn more on Bing</v>
  </rv>
  <rv s="1">
    <v>0</v>
    <v>G-III APPAREL GROUP, LTD. (XNAS:GIII)</v>
    <v>2</v>
    <v>3</v>
    <v>Finance</v>
    <v>4</v>
    <v>en-US</v>
    <v>a1tvim</v>
    <v>268435456</v>
    <v>1</v>
    <v>Powered by Refinitiv</v>
    <v>36.18</v>
    <v>20.329999999999998</v>
    <v>1.4931000000000001</v>
    <v>-0.22</v>
    <v>-9.3019999999999995E-3</v>
    <v>USD</v>
    <v>G-III Apparel Group, Ltd. is engaged in fashion with expertise in design, sourcing and marketing, owns and licenses a portfolio of over 30 brands. It owns 10 brands, including DKNY, Karl Lagerfeld, Donna Karan and Vilebrequin, and licenses over 20 brands including Calvin Klein, Tommy Hilfiger, Nautica, Halston, Converse, BCBG and National Sports leagues, among others. Its wholesale operations segment includes sales of products to retailers under owned, licensed and private label brands, as well as sales related to the Karl Lagerfeld and Vilebrequin businesses, including from retail stores operated by Vilebrequin and Karl Lagerfeld, other than sales of products under the Karl Lagerfeld Paris brand generated by its retail stores and digital sites. Its retail operations segment consists of direct sales to consumers through its Company-operated stores and product sales through its digital sites for the DKNY, Donna Karan, Karl Lagerfeld Paris, G.H. Bass and Wilsons Leather brands.</v>
    <v>3500</v>
    <v>Nasdaq Stock Market</v>
    <v>XNAS</v>
    <v>XNAS</v>
    <v>512 7th Avenue, NEW YORK, NY, 10018 US</v>
    <v>23.885000000000002</v>
    <v>Textiles &amp; Apparel</v>
    <v>Stock</v>
    <v>45869.653688078128</v>
    <v>145</v>
    <v>23.371500000000001</v>
    <v>1024182000</v>
    <v>G-III APPAREL GROUP, LTD.</v>
    <v>G-III APPAREL GROUP, LTD.</v>
    <v>23.46</v>
    <v>5.4646999999999997</v>
    <v>23.65</v>
    <v>23.43</v>
    <v>43305810</v>
    <v>GIII</v>
    <v>G-III APPAREL GROUP, LTD. (XNAS:GIII)</v>
    <v>98414</v>
    <v>674258</v>
    <v>1989</v>
  </rv>
  <rv s="2">
    <v>146</v>
  </rv>
  <rv s="0">
    <v>https://www.bing.com/financeapi/forcetrigger?t=a1qclh&amp;q=XNAS%3aCROX&amp;form=skydnc</v>
    <v>Learn more on Bing</v>
  </rv>
  <rv s="1">
    <v>0</v>
    <v>CROCS, INC. (XNAS:CROX)</v>
    <v>2</v>
    <v>3</v>
    <v>Finance</v>
    <v>4</v>
    <v>en-US</v>
    <v>a1qclh</v>
    <v>268435456</v>
    <v>1</v>
    <v>Powered by Refinitiv</v>
    <v>151.13</v>
    <v>86.11</v>
    <v>1.4084000000000001</v>
    <v>-1.69</v>
    <v>-1.6531000000000001E-2</v>
    <v>USD</v>
    <v>Crocs, Inc. is engaged in the design, development, worldwide marketing, distribution, and sale of casual lifestyle footwear and accessories for all. The Company's brands include Crocs and HEYDUDE. The Crocs Brand's collection contains Croslite material, a proprietary, molded footwear technology. It also uses Croslite material formulations in connection with material technologies used in its visible comfort collections, such as its LiteRide and Free Feel Technology products. The HEYDUDE Brand offers shoes with an iconic and versatile loafer silhouette with many wearing occasions that focus on casualization, comfort-led functionality and personalization. It sells its products in more than 80 countries, through wholesale and direct-to-consumer channels. Its wholesale channel includes domestic and international multi-brand retailers, e-tailers and others. Its direct-to-consumer channel includes Company-operated retail stores, Company-operated e-commerce sites and third-party marketplaces.</v>
    <v>7910</v>
    <v>Nasdaq Stock Market</v>
    <v>XNAS</v>
    <v>XNAS</v>
    <v>500 Eldorado Boulevard, Building 5, BROOMFIELD, CO, 80021 US</v>
    <v>102.05</v>
    <v>Textiles &amp; Apparel</v>
    <v>Stock</v>
    <v>45869.653971110936</v>
    <v>148</v>
    <v>99.968999999999994</v>
    <v>5637736262</v>
    <v>CROCS, INC.</v>
    <v>CROCS, INC.</v>
    <v>102.05</v>
    <v>6.1616</v>
    <v>102.23</v>
    <v>100.54</v>
    <v>56074560</v>
    <v>CROX</v>
    <v>CROCS, INC. (XNAS:CROX)</v>
    <v>398635</v>
    <v>1132478</v>
    <v>2005</v>
  </rv>
  <rv s="2">
    <v>149</v>
  </rv>
  <rv s="0">
    <v>https://www.bing.com/financeapi/forcetrigger?t=a1ruc7&amp;q=XNYS%3aEL&amp;form=skydnc</v>
    <v>Learn more on Bing</v>
  </rv>
  <rv s="1">
    <v>0</v>
    <v>THE ESTEE LAUDER COMPANIES INC. (XNYS:EL)</v>
    <v>2</v>
    <v>3</v>
    <v>Finance</v>
    <v>4</v>
    <v>en-US</v>
    <v>a1ruc7</v>
    <v>268435456</v>
    <v>1</v>
    <v>Powered by Refinitiv</v>
    <v>103.44</v>
    <v>48.370100000000001</v>
    <v>1.1805000000000001</v>
    <v>0.11</v>
    <v>1.1740000000000001E-3</v>
    <v>USD</v>
    <v>The Estee Lauder Companies Inc. is a manufacturer, marketer and seller of skin care, makeup, fragrance and hair care products. Its product categories include skin care, makeup, fragrance, hair care and others. Its products are sold in approximately 150 countries and territories under a number of brand names, including Estee Lauder, Aramis, Clinique, Lab Series, Origins, M.A.C, Bobbi Brown Cosmetics, La Mer, Aveda, Jo Malone London, Bumble and bumble, Darphin Paris, TOM FORD, Smashbox, AERIN Beauty, Le Labo, Editions de Parfums Frederic Malle, GLAMGLOW, Kilian Paris, Too Faced, Dr.Jart+, and the DECIEM family of brands, including The Ordinary and NIOD. It is a licensee for fragrances, cosmetics and/or related products for AERIN, BALMAIN, and Dr. Andrew Weil. Its skin care products include moisturizers, serums, cleansers, toners, exfoliators, facial masks, body care, sun care products and others. Its makeup products include lipsticks, lip glosses, mascaras, foundations and others.</v>
    <v>62000</v>
    <v>New York Stock Exchange</v>
    <v>XNYS</v>
    <v>XNYS</v>
    <v>767 Fifth Avenue, NEW YORK, NY, 10153 US</v>
    <v>94.74</v>
    <v>Personal &amp; Household Products &amp; Services</v>
    <v>Stock</v>
    <v>45869.654062140624</v>
    <v>151</v>
    <v>92.4</v>
    <v>33733945040</v>
    <v>THE ESTEE LAUDER COMPANIES INC.</v>
    <v>THE ESTEE LAUDER COMPANIES INC.</v>
    <v>93.06</v>
    <v>0</v>
    <v>93.66</v>
    <v>93.77</v>
    <v>359752000</v>
    <v>EL</v>
    <v>THE ESTEE LAUDER COMPANIES INC. (XNYS:EL)</v>
    <v>1121248</v>
    <v>4309571</v>
    <v>1976</v>
  </rv>
  <rv s="2">
    <v>152</v>
  </rv>
  <rv s="0">
    <v>https://www.bing.com/financeapi/forcetrigger?t=aql1xm&amp;q=XTAE%3aNICE&amp;form=skydnc</v>
    <v>Learn more on Bing</v>
  </rv>
  <rv s="7">
    <v>12</v>
    <v>NICE LTD (XTAE:NICE)</v>
    <v>2</v>
    <v>13</v>
    <v>Finance</v>
    <v>14</v>
    <v>en-US</v>
    <v>aql1xm</v>
    <v>268435456</v>
    <v>1</v>
    <v>Powered by Refinitiv</v>
    <v>99480</v>
    <v>42310</v>
    <v>0.39710000000000001</v>
    <v>-1340</v>
    <v>-2.4514999999999999E-2</v>
    <v>ILa</v>
    <v>NICE Ltd., formerly NICE-Systems Ltd., is a global enterprise software provider. The Company's segments include Customer Interactions Solutions, and Financial Crime and Compliance Solutions. The Customer Interactions Solutions segment provides data driven insights that enable businesses to deliver personalized experience to customers. The Financial Crime and Compliance Solutions segment provides real time and cross-channel fraud prevention, anti-money laundering, brokerage compliance and enterprise-wide case management. The Company serves contact centers, back office operations and retail branches, covering various industries, including communications, banking, insurance, healthcare, business processes outsourcing (BPO), government, utilities, travel and entertainment. Its Multi-Channel Recording and Interaction Management enables organizations to capture structured and unstructured customer interaction and transaction data from multiple channels.</v>
    <v>8726</v>
    <v>Tel Aviv Stock Exchange</v>
    <v>XTAE</v>
    <v>XTAE</v>
    <v>13 Zarhin Street, Nice 1, 2, 3, P.O. Box 690, RA'ANANA, 4310602 IL</v>
    <v>55060</v>
    <v>Software &amp; IT Services</v>
    <v>Stock</v>
    <v>45869.60015046296</v>
    <v>154</v>
    <v>53170</v>
    <v>34741910000</v>
    <v>NICE LTD</v>
    <v>NICE LTD</v>
    <v>54850</v>
    <v>54660</v>
    <v>53320</v>
    <v>63249840</v>
    <v>NICE</v>
    <v>NICE LTD (XTAE:NICE)</v>
    <v>151941</v>
    <v>172110</v>
    <v>1986</v>
  </rv>
  <rv s="2">
    <v>155</v>
  </rv>
  <rv s="0">
    <v>https://www.bing.com/financeapi/forcetrigger?t=a1ulf2&amp;q=XNAS%3aHELE&amp;form=skydnc</v>
    <v>Learn more on Bing</v>
  </rv>
  <rv s="1">
    <v>0</v>
    <v>HELEN OF TROY LIMITED (XNAS:HELE)</v>
    <v>2</v>
    <v>3</v>
    <v>Finance</v>
    <v>4</v>
    <v>en-US</v>
    <v>a1ulf2</v>
    <v>268435456</v>
    <v>1</v>
    <v>Powered by Refinitiv</v>
    <v>77.95</v>
    <v>20.02</v>
    <v>0.85840000000000005</v>
    <v>-0.375</v>
    <v>-1.6740999999999999E-2</v>
    <v>USD</v>
    <v>Helen of Troy Limited is a global consumer products company. The Company has two operating business segments, namely Beauty &amp; Wellness and Home &amp; Outdoor. The Beauty &amp; Wellness segment includes beauty products such as hairstyling appliances, grooming tools, liquid and aerosol personal care items, and nail care products. It also includes wellness devices such as humidifiers, thermometers, water and air purifiers, heaters, and fans. The Home &amp; Outdoor segment includes consumer products for home-related activities such as food preparation and storage, cooking, cleaning, organization, and beverage service. It also includes products for outdoor and mobile use, such as hydration containers, coolers, food storage items, backpacks, and travel gear. The Company offers products through a portfolio of brands, including OXO, Hydro Flask, Osprey, Vicks, Braun, Honeywell, PUR, Hot Tools, Drybar, Curlsmith, Revlon, and Olive &amp; June.</v>
    <v>1883</v>
    <v>Nasdaq Stock Market</v>
    <v>XNAS</v>
    <v>XNAS</v>
    <v>Clarendon House, 2 Church Street, HAMILTON, HM 11 BM</v>
    <v>22.11</v>
    <v>Household Goods</v>
    <v>Stock</v>
    <v>45869.653902060156</v>
    <v>157</v>
    <v>21.67</v>
    <v>505591583</v>
    <v>HELEN OF TROY LIMITED</v>
    <v>HELEN OF TROY LIMITED</v>
    <v>22.06</v>
    <v>0</v>
    <v>22.4</v>
    <v>22.024999999999999</v>
    <v>22955350</v>
    <v>HELE</v>
    <v>HELEN OF TROY LIMITED (XNAS:HELE)</v>
    <v>207866</v>
    <v>1248611</v>
    <v>1993</v>
  </rv>
  <rv s="2">
    <v>158</v>
  </rv>
  <rv s="0">
    <v>https://www.bing.com/financeapi/forcetrigger?t=a21fw7&amp;q=XNYS%3aPVH&amp;form=skydnc</v>
    <v>Learn more on Bing</v>
  </rv>
  <rv s="1">
    <v>0</v>
    <v>PVH CORP. (XNYS:PVH)</v>
    <v>2</v>
    <v>3</v>
    <v>Finance</v>
    <v>4</v>
    <v>en-US</v>
    <v>a21fw7</v>
    <v>268435456</v>
    <v>1</v>
    <v>Powered by Refinitiv</v>
    <v>113.47</v>
    <v>59.280099999999997</v>
    <v>1.8441000000000001</v>
    <v>-1.23</v>
    <v>-1.6431000000000001E-2</v>
    <v>USD</v>
    <v>PVH Corp. is an apparel company that designs and markets branded sportswear (casual apparel), jeanswear, intimate apparel, swimwear, handbags, accessories, footwear and other related products. Its segments include Americas, Europe, the Middle East and Africa, Asia-Pacific, and Licensing. Its three main businesses include Tommy Hilfiger, which consists of the Tommy Hilfiger North America and Tommy Hilfiger International segments; Calvin Klein, which consists of the Calvin Klein North America and Calvin Klein International segments; and Heritage Brands, which consists of the Heritage Brands Wholesale segment. Its operations outside North America consist of wholesale sales under its owned and licensed trademarks, and retail stores operations, and digital commerce sites under its TOMMY HILFIGER and Calvin Klein trademarks. Its licensing activities include TOMMY HILFIGER and Calvin Klein trademark licensing for a broad array of product categories and for use in certain territories.</v>
    <v>16000</v>
    <v>New York Stock Exchange</v>
    <v>XNYS</v>
    <v>XNYS</v>
    <v>285 Madison Avenue, NEW YORK, NY, 10017 US</v>
    <v>74.319999999999993</v>
    <v>Textiles &amp; Apparel</v>
    <v>Stock</v>
    <v>45869.653960138283</v>
    <v>160</v>
    <v>73.180000000000007</v>
    <v>3539623825</v>
    <v>PVH CORP.</v>
    <v>PVH CORP.</v>
    <v>74</v>
    <v>10.377700000000001</v>
    <v>74.86</v>
    <v>73.63</v>
    <v>48073120</v>
    <v>PVH</v>
    <v>PVH CORP. (XNYS:PVH)</v>
    <v>168997</v>
    <v>1267783</v>
    <v>1976</v>
  </rv>
  <rv s="2">
    <v>161</v>
  </rv>
</rvData>
</file>

<file path=xl/richData/rdrichvaluestructure.xml><?xml version="1.0" encoding="utf-8"?>
<rvStructures xmlns="http://schemas.microsoft.com/office/spreadsheetml/2017/richdata" count="10">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error">
    <k n="errorType" t="i"/>
    <k n="field" t="s"/>
    <k n="subType" t="i"/>
  </s>
</rvStructures>
</file>

<file path=xl/richData/rdsupportingpropertybag.xml><?xml version="1.0" encoding="utf-8"?>
<supportingPropertyBags xmlns="http://schemas.microsoft.com/office/spreadsheetml/2017/richdata2">
  <spbArrays count="5">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Price</v>
      <v t="s">Exchange</v>
      <v t="s">Official name</v>
      <v t="s">_SubLabel</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0">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18">
    <spb s="0">
      <v>0</v>
      <v>Name</v>
      <v>LearnMoreOnLink</v>
    </spb>
    <spb s="1">
      <v>0</v>
      <v>0</v>
      <v>0</v>
    </spb>
    <spb s="2">
      <v>1</v>
      <v>1</v>
      <v>1</v>
      <v>1</v>
    </spb>
    <spb s="3">
      <v>1</v>
      <v>2</v>
      <v>2</v>
      <v>1</v>
      <v>3</v>
      <v>1</v>
      <v>1</v>
      <v>1</v>
      <v>4</v>
      <v>4</v>
      <v>5</v>
      <v>6</v>
      <v>1</v>
      <v>1</v>
      <v>1</v>
      <v>4</v>
      <v>7</v>
      <v>8</v>
      <v>9</v>
      <v>4</v>
    </spb>
    <spb s="4">
      <v>Real-Time Nasdaq Last Sale</v>
      <v>from previous close</v>
      <v>from previous close</v>
      <v>Source: Nasdaq Last Sale</v>
      <v>GMT</v>
    </spb>
    <spb s="0">
      <v>1</v>
      <v>Name</v>
      <v>LearnMoreOnLink</v>
    </spb>
    <spb s="5">
      <v>0</v>
      <v>0</v>
    </spb>
    <spb s="6">
      <v>6</v>
      <v>1</v>
      <v>1</v>
      <v>1</v>
      <v>1</v>
    </spb>
    <spb s="7">
      <v>1</v>
      <v>2</v>
      <v>2</v>
      <v>1</v>
      <v>3</v>
      <v>1</v>
      <v>10</v>
      <v>1</v>
      <v>1</v>
      <v>4</v>
      <v>4</v>
      <v>5</v>
      <v>6</v>
      <v>1</v>
      <v>1</v>
      <v>1</v>
      <v>4</v>
      <v>7</v>
      <v>8</v>
      <v>9</v>
      <v>4</v>
    </spb>
    <spb s="8">
      <v>Powered by Refinitiv</v>
    </spb>
    <spb s="9">
      <v>2</v>
      <v>Name</v>
    </spb>
    <spb s="10">
      <v>1</v>
      <v>1</v>
      <v>1</v>
    </spb>
    <spb s="0">
      <v>3</v>
      <v>Name</v>
      <v>LearnMoreOnLink</v>
    </spb>
    <spb s="11">
      <v>11</v>
      <v>2</v>
      <v>11</v>
      <v>3</v>
      <v>11</v>
      <v>11</v>
      <v>11</v>
      <v>4</v>
      <v>4</v>
      <v>5</v>
      <v>12</v>
      <v>11</v>
      <v>11</v>
      <v>11</v>
      <v>4</v>
      <v>7</v>
      <v>8</v>
      <v>9</v>
      <v>4</v>
    </spb>
    <spb s="12">
      <v>from previous close</v>
      <v>from previous close</v>
      <v>GMT</v>
    </spb>
    <spb s="0">
      <v>4</v>
      <v>Name</v>
      <v>LearnMoreOnLink</v>
    </spb>
    <spb s="13">
      <v>13</v>
      <v>2</v>
      <v>2</v>
      <v>13</v>
      <v>3</v>
      <v>13</v>
      <v>13</v>
      <v>13</v>
      <v>4</v>
      <v>4</v>
      <v>5</v>
      <v>6</v>
      <v>13</v>
      <v>4</v>
      <v>7</v>
      <v>8</v>
      <v>9</v>
      <v>4</v>
    </spb>
    <spb s="14">
      <v>Delayed 15 minutes</v>
      <v>from previous close</v>
      <v>from previous close</v>
      <v>GMT</v>
    </spb>
  </spbData>
</supportingPropertyBags>
</file>

<file path=xl/richData/rdsupportingpropertybagstructure.xml><?xml version="1.0" encoding="utf-8"?>
<spbStructures xmlns="http://schemas.microsoft.com/office/spreadsheetml/2017/richdata2" count="1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s>
  <s>
    <k n="name" t="s"/>
  </s>
  <s>
    <k n="^Order" t="spba"/>
    <k n="TitleProperty" t="s"/>
  </s>
  <s>
    <k n="ExchangeID" t="spb"/>
    <k n="UniqueName" t="spb"/>
    <k n="`%ProviderInfo" t="spb"/>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Change" t="s"/>
    <k n="Change (%)" t="s"/>
    <k n="Last trade time" t="s"/>
  </s>
  <s>
    <k n="Low" t="i"/>
    <k n="P/E" t="i"/>
    <k n="Beta" t="i"/>
    <k n="High" t="i"/>
    <k n="Name" t="i"/>
    <k n="Open" t="i"/>
    <k n="Price" t="i"/>
    <k n="Change" t="i"/>
    <k n="Volume" t="i"/>
    <k n="Employees" t="i"/>
    <k n="Change (%)" t="i"/>
    <k n="Market cap" t="i"/>
    <k n="Previous close" t="i"/>
    <k n="Volume average" t="i"/>
    <k n="Last trade time" t="i"/>
    <k n="Year incorporated" t="i"/>
    <k n="`%EntityServiceId" t="i"/>
    <k n="Shares outstanding" t="i"/>
  </s>
  <s>
    <k n="Price" t="s"/>
    <k n="Change" t="s"/>
    <k n="Change (%)" t="s"/>
    <k n="Last trade ti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 h:mm"/>
    </x:dxf>
    <x:dxf>
      <x:numFmt numFmtId="14" formatCode="0.00%"/>
    </x:dxf>
    <x:dxf>
      <x:numFmt numFmtId="3" formatCode="#,##0"/>
    </x:dxf>
    <x:dxf>
      <x:numFmt numFmtId="4" formatCode="#,##0.00"/>
    </x:dxf>
    <x:dxf>
      <x:numFmt numFmtId="1" formatCode="0"/>
    </x:dxf>
    <x:dxf>
      <x:numFmt numFmtId="35" formatCode="_(* #,##0.00_);_(* \(#,##0.00\);_(* &quot;-&quot;??_);_(@_)"/>
    </x:dxf>
  </dxfs>
  <richProperties>
    <rPr n="NumberFormat" t="s"/>
    <rPr n="IsTitleField" t="b"/>
    <rPr n="IsHero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Sty>
      <rpv i="2">1</rpv>
    </rSty>
    <rSty dxfid="7">
      <rpv i="0">_(* #,##0.00_);_(* (#,##0.00);_(* "-"??_);_(@_)</rpv>
    </rSty>
    <rSty dxfid="1">
      <rpv i="0">_-* #,##0[$₪-he-IL]_-;-* #,##0[$₪-he-IL]_-;_-* "-"[$₪-he-IL]_-;_-@_-</rpv>
    </rSty>
    <rSty dxfid="1">
      <rpv i="0">_([$€-x-euro2] * #,##0.00_);_([$€-x-euro2] * (#,##0.00);_([$€-x-euro2] *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483C2E3-9E23-2146-821F-17917E017601}" name="Table35" displayName="Table35" ref="A2:I4" totalsRowShown="0" headerRowDxfId="52" tableBorderDxfId="51">
  <autoFilter ref="A2:I4" xr:uid="{8124EE3B-E86A-BE40-8C7D-DD3CF235FD40}"/>
  <tableColumns count="9">
    <tableColumn id="1" xr3:uid="{275096F5-9605-3A45-BFDE-841218B107CB}" name="Company" dataDxfId="50"/>
    <tableColumn id="2" xr3:uid="{3C4B75E1-AA78-3E4C-91FC-132A4D19903D}" name="Ticker" dataDxfId="49">
      <calculatedColumnFormula array="1">_FV(A3,"Ticker symbol",TRUE)</calculatedColumnFormula>
    </tableColumn>
    <tableColumn id="3" xr3:uid="{9846E7B8-5CA3-F14F-B6AD-A7ACDA41FA64}" name="Ind" dataDxfId="48">
      <calculatedColumnFormula array="1">_FV(A3,"Industry")</calculatedColumnFormula>
    </tableColumn>
    <tableColumn id="4" xr3:uid="{561BE32B-03C1-4F44-ACF3-94F00F30C2AA}" name="Market Cap" dataDxfId="47">
      <calculatedColumnFormula array="1">_FV(A3,"Market cap",TRUE)</calculatedColumnFormula>
    </tableColumn>
    <tableColumn id="5" xr3:uid="{F174F0D1-6113-0542-B4C1-EFE8328331F9}" name="Price" dataDxfId="46">
      <calculatedColumnFormula array="1">_FV(A3,"Price")</calculatedColumnFormula>
    </tableColumn>
    <tableColumn id="6" xr3:uid="{6818E855-8411-D743-BC7B-820498983A46}" name="% Change" dataDxfId="45">
      <calculatedColumnFormula array="1">_FV(A3,"Change (%)",TRUE)</calculatedColumnFormula>
    </tableColumn>
    <tableColumn id="7" xr3:uid="{1447EE8D-6B43-9048-AE0B-AC82088BC186}" name="52WHigh" dataDxfId="44">
      <calculatedColumnFormula array="1">_FV(A3,"52 week high",TRUE)</calculatedColumnFormula>
    </tableColumn>
    <tableColumn id="8" xr3:uid="{6D0E877F-6DB1-4145-AA53-0B8B74F7CD29}" name="52WLow" dataDxfId="43">
      <calculatedColumnFormula array="1">_FV(A3,"52 week low",TRUE)</calculatedColumnFormula>
    </tableColumn>
    <tableColumn id="9" xr3:uid="{5F05DCF7-BA8E-9842-B462-307F4E79C45B}" name="Volume" dataDxfId="42">
      <calculatedColumnFormula array="1">_FV(A3,"Volume")</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48C43C9-8064-5A46-93E8-FEC4B890D0FE}" name="Table13" displayName="Table13" ref="A9:M58" totalsRowShown="0">
  <autoFilter ref="A9:M58" xr:uid="{6C760162-C7C0-7646-9274-25DE65B86050}"/>
  <sortState xmlns:xlrd2="http://schemas.microsoft.com/office/spreadsheetml/2017/richdata2" ref="A10:M54">
    <sortCondition ref="C9:C54"/>
  </sortState>
  <tableColumns count="13">
    <tableColumn id="1" xr3:uid="{5968C745-C4B6-FF43-A382-107F6163CCE7}" name="Company"/>
    <tableColumn id="2" xr3:uid="{9074E328-80CA-9443-BA2F-5D591391F7D7}" name="Ticker" dataDxfId="41">
      <calculatedColumnFormula array="1">_FV(A10,"Ticker symbol",TRUE)</calculatedColumnFormula>
    </tableColumn>
    <tableColumn id="3" xr3:uid="{4B120B51-AE56-BD40-B47F-9A009E1506D0}" name="Ind" dataDxfId="40">
      <calculatedColumnFormula array="1">_FV(A10,"Industry")</calculatedColumnFormula>
    </tableColumn>
    <tableColumn id="4" xr3:uid="{F7104195-4A36-2E45-8140-BB7A1FBFE1FB}" name="Market Cap" dataDxfId="39">
      <calculatedColumnFormula array="1">_FV(A10,"Market cap",TRUE)</calculatedColumnFormula>
    </tableColumn>
    <tableColumn id="5" xr3:uid="{BE31A94C-6EA4-D24A-9F56-75D6ECCA0862}" name="Price" dataDxfId="38">
      <calculatedColumnFormula array="1">_FV(A10,"Price")</calculatedColumnFormula>
    </tableColumn>
    <tableColumn id="6" xr3:uid="{4F774A05-EEDF-E548-8E56-E5960C8169C6}" name="% Change" dataDxfId="37">
      <calculatedColumnFormula array="1">_FV(A10,"Change (%)",TRUE)</calculatedColumnFormula>
    </tableColumn>
    <tableColumn id="7" xr3:uid="{41467F58-AF2C-934A-9D43-315D6199B347}" name="52WHigh" dataDxfId="36">
      <calculatedColumnFormula array="1">_FV(A10,"52 week high",TRUE)</calculatedColumnFormula>
    </tableColumn>
    <tableColumn id="8" xr3:uid="{3B7D9136-A601-1844-9E72-40B925A9E8EC}" name="52WLow" dataDxfId="35">
      <calculatedColumnFormula array="1">_FV(A10,"52 week low",TRUE)</calculatedColumnFormula>
    </tableColumn>
    <tableColumn id="9" xr3:uid="{468775D2-B906-A643-B73B-29A7B5C7ECD6}" name="Volume" dataDxfId="34">
      <calculatedColumnFormula array="1">_FV(A10,"Volume")</calculatedColumnFormula>
    </tableColumn>
    <tableColumn id="14" xr3:uid="{42E66CFC-7EE7-5D44-8153-AB1AAA880C09}" name="Headquarters" dataDxfId="33">
      <calculatedColumnFormula array="1">_FV(Table13[[#This Row],[Company]],"Headquarters")</calculatedColumnFormula>
    </tableColumn>
    <tableColumn id="16" xr3:uid="{29E085E9-E0F9-024C-9362-02C8373781B7}" name="Founding" dataDxfId="32">
      <calculatedColumnFormula array="1">_FV(Table13[[#This Row],[Company]],"Year incorporated",TRUE)</calculatedColumnFormula>
    </tableColumn>
    <tableColumn id="10" xr3:uid="{40C0AFED-FCCA-314B-AF67-7A352947533B}" name="Funds" dataDxfId="31"/>
    <tableColumn id="11" xr3:uid="{3B2A6CFA-213A-E545-9D94-A66ABB4D8B52}" name="Insiders" dataDxfId="3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ED57132-4266-3D48-B905-F57EF8D7F122}">
  <we:reference id="wa104379220" version="8.0.0.0" store="en-US" storeType="OMEX"/>
  <we:alternateReferences>
    <we:reference id="WA104379220" version="8.0.0.0" store="WA104379220" storeType="OMEX"/>
  </we:alternateReferences>
  <we:properties>
    <we:property name="Office.AutoShowTaskpaneWithDocument" value="true"/>
    <we:property name="lastCryptoCompare" value="0"/>
    <we:property name="lastIexCall" value="1744678049076"/>
    <we:property name="lastInfo" value="{&quot;COCO&quot;:{&quot;time&quot;:1744326501683,&quot;updateTime&quot;:1744315620000,&quot;price&quot;:&quot;30.63&quot;,&quot;name&quot;:&quot;Vita Coco Company Inc&quot;,&quot;prevClose&quot;:31.28063725490196},&quot;CMCO&quot;:{&quot;time&quot;:1744326517260,&quot;updateTime&quot;:1744321080000,&quot;price&quot;:&quot;12.68&quot;,&quot;name&quot;:&quot;Columbus McKinnon Corp&quot;,&quot;prevClose&quot;:13.859438189966115,&quot;timeZone&quot;:&quot;EDT&quot;},&quot;AAPL&quot;:{&quot;time&quot;:1744326568942,&quot;updateTime&quot;:1744315200000,&quot;price&quot;:&quot;190.58&quot;,&quot;name&quot;:&quot;Apple Inc&quot;,&quot;prevClose&quot;:198.85225375626044},&quot;SPY&quot;:{&quot;time&quot;:1744678049669,&quot;updateTime&quot;:1744661460000,&quot;price&quot;:&quot;539.12&quot;,&quot;name&quot;:&quot;SPDR S&amp;P 500 ETF Trust&quot;,&quot;prevClose&quot;:533.9407744874715},&quot;NDAQ&quot;:{&quot;time&quot;:1744678049669,&quot;updateTime&quot;:1744660980000,&quot;price&quot;:&quot;72.78&quot;,&quot;name&quot;:&quot;Nasdaq Inc&quot;,&quot;prevClose&quot;:71.52825552825553},&quot;DIA&quot;:{&quot;time&quot;:1744678049669,&quot;updateTime&quot;:1744660980000,&quot;price&quot;:&quot;405.26&quot;,&quot;name&quot;:&quot;SPDR Dow Jones Industrial Average ETF Trust&quot;,&quot;prevClose&quot;:401.92403054646434}}"/>
    <we:property name="lastMutualFundsCall" value="0"/>
    <we:property name="stocks" value="{&quot;SPY&quot;:[&quot;SPY&quot;,539.12,0.009700000000000042,1744661460000],&quot;NDAQ&quot;:[&quot;NDAQ&quot;,72.78,0.01750000000000007,1744660980000],&quot;__DJI&quot;:[&quot;__DJI&quot;,40535.82255696684,0.008299999999999974,1744660980000],&quot;DIA&quot;:[&quot;DIA&quot;,405.26,0.008299999999999974,1744660980000]}"/>
    <we:property name="stocksChange" value="{&quot;SPYchange&quot;:[&quot;SPY&quot;,0.009700000000000042,539.12],&quot;NDAQchange&quot;:[&quot;NDAQ&quot;,0.01750000000000007,72.78],&quot;__DJIchange&quot;:[&quot;__DJI&quot;,0.008299999999999974,40535.82255696684],&quot;DIAchange&quot;:[&quot;DIA&quot;,0.008299999999999974,405.26]}"/>
    <we:property name="stocksOrder" value="[&quot;SPY&quot;,&quot;NDAQ&quot;,&quot;__DJI&quot;,&quot;DIA&quot;]"/>
    <we:property name="stocksSources" value="{&quot;SPY&quot;:0,&quot;NDAQ&quot;:0,&quot;__DJI&quot;:0,&quot;DIA&quot;:0}"/>
    <we:property name="updateIntervalIndex" value="2"/>
  </we:properties>
  <we:bindings>
    <we:binding id="SPY" type="text" appref="{5F651232-4ED0-7241-B537-6F8F5BE754F0}"/>
    <we:binding id="SPYchange" type="text" appref="{C0550556-AB09-0142-85B1-674F35B4514F}"/>
    <we:binding id="NDAQ" type="text" appref="{F39B801E-A2DA-1F45-A525-9EAF5ED600EE}"/>
    <we:binding id="NDAQchange" type="text" appref="{CEEFB261-C9BF-944A-9CC1-9C7ECF741CD5}"/>
    <we:binding id="__DJI" type="text" appref="{BA1C8645-AE1E-D848-BBBA-428B60499A69}"/>
    <we:binding id="__DJIchange" type="text" appref="{BCDDC7ED-B058-2A40-8B7B-32E2DDC42158}"/>
    <we:binding id="DIA" type="text" appref="{71E5784A-B1E7-FE4E-A4CD-289EB353DC65}"/>
    <we:binding id="DIAchange" type="text" appref="{AF2EC124-CC00-3048-8B29-AFC3FD891D7B}"/>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hyperlink" Target="file:///analysts/mike-colonnese" TargetMode="External"/><Relationship Id="rId3" Type="http://schemas.openxmlformats.org/officeDocument/2006/relationships/hyperlink" Target="file:///stocks/mstr/revenue" TargetMode="External"/><Relationship Id="rId7" Type="http://schemas.openxmlformats.org/officeDocument/2006/relationships/hyperlink" Target="file:///analysts/brett-knoblauch" TargetMode="External"/><Relationship Id="rId2" Type="http://schemas.openxmlformats.org/officeDocument/2006/relationships/hyperlink" Target="file:///stocks/mstr/employees" TargetMode="External"/><Relationship Id="rId1" Type="http://schemas.openxmlformats.org/officeDocument/2006/relationships/hyperlink" Target="file:///stocks/mstr/market-cap" TargetMode="External"/><Relationship Id="rId6" Type="http://schemas.openxmlformats.org/officeDocument/2006/relationships/hyperlink" Target="file:///analysts/ramsey-el-assal" TargetMode="External"/><Relationship Id="rId5" Type="http://schemas.openxmlformats.org/officeDocument/2006/relationships/hyperlink" Target="file:///analysts/lance-vitanza" TargetMode="External"/><Relationship Id="rId10" Type="http://schemas.openxmlformats.org/officeDocument/2006/relationships/queryTable" Target="../queryTables/queryTable2.xml"/><Relationship Id="rId4" Type="http://schemas.openxmlformats.org/officeDocument/2006/relationships/hyperlink" Target="file:///analysts/brett-knoblauch" TargetMode="External"/><Relationship Id="rId9" Type="http://schemas.openxmlformats.org/officeDocument/2006/relationships/queryTable" Target="../queryTables/queryTable1.xml"/></Relationships>
</file>

<file path=xl/worksheets/_rels/sheet5.xml.rels><?xml version="1.0" encoding="UTF-8" standalone="yes"?>
<Relationships xmlns="http://schemas.openxmlformats.org/package/2006/relationships"><Relationship Id="rId26" Type="http://schemas.openxmlformats.org/officeDocument/2006/relationships/hyperlink" Target="https://www.sec.gov/Archives/edgar/data/1050446/000091664101500027/0000916641-01-500027-index.htm" TargetMode="External"/><Relationship Id="rId21" Type="http://schemas.openxmlformats.org/officeDocument/2006/relationships/hyperlink" Target="https://www.sec.gov/Archives/edgar/data/1050446/000119312506049859/0001193125-06-049859-index.htm" TargetMode="External"/><Relationship Id="rId42" Type="http://schemas.openxmlformats.org/officeDocument/2006/relationships/hyperlink" Target="https://www.sec.gov/Archives/edgar/data/1050446/000119312512067605/0001193125-12-067605-index.htm" TargetMode="External"/><Relationship Id="rId47" Type="http://schemas.openxmlformats.org/officeDocument/2006/relationships/hyperlink" Target="https://www.sec.gov/Archives/edgar/data/1050446/000119312507038385/0001193125-07-038385-index.htm" TargetMode="External"/><Relationship Id="rId63" Type="http://schemas.openxmlformats.org/officeDocument/2006/relationships/hyperlink" Target="https://www.sec.gov/Archives/edgar/data/1050446/000156459019003468/0001564590-19-003468-index.htm" TargetMode="External"/><Relationship Id="rId68" Type="http://schemas.openxmlformats.org/officeDocument/2006/relationships/hyperlink" Target="https://www.sec.gov/Archives/edgar/data/1050446/000119312514048295/0001193125-14-048295-index.htm" TargetMode="External"/><Relationship Id="rId84" Type="http://schemas.openxmlformats.org/officeDocument/2006/relationships/queryTable" Target="../queryTables/queryTable3.xml"/><Relationship Id="rId16" Type="http://schemas.openxmlformats.org/officeDocument/2006/relationships/hyperlink" Target="https://www.sec.gov/Archives/edgar/data/1050446/000119312511040481/0001193125-11-040481-index.htm" TargetMode="External"/><Relationship Id="rId11" Type="http://schemas.openxmlformats.org/officeDocument/2006/relationships/hyperlink" Target="https://www.sec.gov/Archives/edgar/data/1050446/000119312516479811/0001193125-16-479811-index.htm" TargetMode="External"/><Relationship Id="rId32" Type="http://schemas.openxmlformats.org/officeDocument/2006/relationships/hyperlink" Target="https://www.sec.gov/Archives/edgar/data/1050446/000156459022005287/0001564590-22-005287-index.htm" TargetMode="External"/><Relationship Id="rId37" Type="http://schemas.openxmlformats.org/officeDocument/2006/relationships/hyperlink" Target="https://www.sec.gov/Archives/edgar/data/1050446/000156459017001395/0001564590-17-001395-index.htm" TargetMode="External"/><Relationship Id="rId53" Type="http://schemas.openxmlformats.org/officeDocument/2006/relationships/hyperlink" Target="https://www.sec.gov/Archives/edgar/data/1050446/000091664101500027/0000916641-01-500027-index.htm" TargetMode="External"/><Relationship Id="rId58" Type="http://schemas.openxmlformats.org/officeDocument/2006/relationships/hyperlink" Target="https://www.sec.gov/Archives/edgar/data/1050446/000095017024015847/0000950170-24-015847-index.htm" TargetMode="External"/><Relationship Id="rId74" Type="http://schemas.openxmlformats.org/officeDocument/2006/relationships/hyperlink" Target="https://www.sec.gov/Archives/edgar/data/1050446/000119312508032765/0001193125-08-032765-index.htm" TargetMode="External"/><Relationship Id="rId79" Type="http://schemas.openxmlformats.org/officeDocument/2006/relationships/hyperlink" Target="https://www.sec.gov/Archives/edgar/data/1050446/000095016803000687/0000950168-03-000687-index.htm" TargetMode="External"/><Relationship Id="rId5" Type="http://schemas.openxmlformats.org/officeDocument/2006/relationships/hyperlink" Target="https://www.sec.gov/Archives/edgar/data/1050446/000156459022005287/0001564590-22-005287-index.htm" TargetMode="External"/><Relationship Id="rId19" Type="http://schemas.openxmlformats.org/officeDocument/2006/relationships/hyperlink" Target="https://www.sec.gov/Archives/edgar/data/1050446/000119312508032765/0001193125-08-032765-index.htm" TargetMode="External"/><Relationship Id="rId14" Type="http://schemas.openxmlformats.org/officeDocument/2006/relationships/hyperlink" Target="https://www.sec.gov/Archives/edgar/data/1050446/000119312513055763/0001193125-13-055763-index.htm" TargetMode="External"/><Relationship Id="rId22" Type="http://schemas.openxmlformats.org/officeDocument/2006/relationships/hyperlink" Target="https://www.sec.gov/Archives/edgar/data/1050446/000119312505051836/0001193125-05-051836-index.htm" TargetMode="External"/><Relationship Id="rId27" Type="http://schemas.openxmlformats.org/officeDocument/2006/relationships/hyperlink" Target="https://www.sec.gov/Archives/edgar/data/1050446/000092838500001133/0000928385-00-001133-index.html" TargetMode="External"/><Relationship Id="rId30" Type="http://schemas.openxmlformats.org/officeDocument/2006/relationships/hyperlink" Target="https://www.sec.gov/Archives/edgar/data/1050446/000095017024015847/0000950170-24-015847-index.htm" TargetMode="External"/><Relationship Id="rId35" Type="http://schemas.openxmlformats.org/officeDocument/2006/relationships/hyperlink" Target="https://www.sec.gov/Archives/edgar/data/1050446/000156459019003468/0001564590-19-003468-index.htm" TargetMode="External"/><Relationship Id="rId43" Type="http://schemas.openxmlformats.org/officeDocument/2006/relationships/hyperlink" Target="https://www.sec.gov/Archives/edgar/data/1050446/000119312511040481/0001193125-11-040481-index.htm" TargetMode="External"/><Relationship Id="rId48" Type="http://schemas.openxmlformats.org/officeDocument/2006/relationships/hyperlink" Target="https://www.sec.gov/Archives/edgar/data/1050446/000119312506049859/0001193125-06-049859-index.htm" TargetMode="External"/><Relationship Id="rId56" Type="http://schemas.openxmlformats.org/officeDocument/2006/relationships/hyperlink" Target="https://www.sec.gov/Archives/edgar/data/1050446/000095017025063536/0000950170-25-063536-index.htm" TargetMode="External"/><Relationship Id="rId64" Type="http://schemas.openxmlformats.org/officeDocument/2006/relationships/hyperlink" Target="https://www.sec.gov/Archives/edgar/data/1050446/000156459018001547/0001564590-18-001547-index.htm" TargetMode="External"/><Relationship Id="rId69" Type="http://schemas.openxmlformats.org/officeDocument/2006/relationships/hyperlink" Target="https://www.sec.gov/Archives/edgar/data/1050446/000119312513055763/0001193125-13-055763-index.htm" TargetMode="External"/><Relationship Id="rId77" Type="http://schemas.openxmlformats.org/officeDocument/2006/relationships/hyperlink" Target="https://www.sec.gov/Archives/edgar/data/1050446/000119312505051836/0001193125-05-051836-index.htm" TargetMode="External"/><Relationship Id="rId8" Type="http://schemas.openxmlformats.org/officeDocument/2006/relationships/hyperlink" Target="https://www.sec.gov/Archives/edgar/data/1050446/000156459019003468/0001564590-19-003468-index.htm" TargetMode="External"/><Relationship Id="rId51" Type="http://schemas.openxmlformats.org/officeDocument/2006/relationships/hyperlink" Target="https://www.sec.gov/Archives/edgar/data/1050446/000095016803000687/0000950168-03-000687-index.htm" TargetMode="External"/><Relationship Id="rId72" Type="http://schemas.openxmlformats.org/officeDocument/2006/relationships/hyperlink" Target="https://www.sec.gov/Archives/edgar/data/1050446/000119312510038870/0001193125-10-038870-index.htm" TargetMode="External"/><Relationship Id="rId80" Type="http://schemas.openxmlformats.org/officeDocument/2006/relationships/hyperlink" Target="https://www.sec.gov/Archives/edgar/data/1050446/000091664102000466/0000916641-02-000466-index.htm" TargetMode="External"/><Relationship Id="rId85" Type="http://schemas.openxmlformats.org/officeDocument/2006/relationships/queryTable" Target="../queryTables/queryTable4.xml"/><Relationship Id="rId3" Type="http://schemas.openxmlformats.org/officeDocument/2006/relationships/hyperlink" Target="https://www.sec.gov/Archives/edgar/data/1050446/000095017024015847/0000950170-24-015847-index.htm" TargetMode="External"/><Relationship Id="rId12" Type="http://schemas.openxmlformats.org/officeDocument/2006/relationships/hyperlink" Target="https://www.sec.gov/Archives/edgar/data/1050446/000119312515065807/0001193125-15-065807-index.htm" TargetMode="External"/><Relationship Id="rId17" Type="http://schemas.openxmlformats.org/officeDocument/2006/relationships/hyperlink" Target="https://www.sec.gov/Archives/edgar/data/1050446/000119312510038870/0001193125-10-038870-index.htm" TargetMode="External"/><Relationship Id="rId25" Type="http://schemas.openxmlformats.org/officeDocument/2006/relationships/hyperlink" Target="https://www.sec.gov/Archives/edgar/data/1050446/000091664102000466/0000916641-02-000466-index.htm" TargetMode="External"/><Relationship Id="rId33" Type="http://schemas.openxmlformats.org/officeDocument/2006/relationships/hyperlink" Target="https://www.sec.gov/Archives/edgar/data/1050446/000156459021005783/0001564590-21-005783-index.htm" TargetMode="External"/><Relationship Id="rId38" Type="http://schemas.openxmlformats.org/officeDocument/2006/relationships/hyperlink" Target="https://www.sec.gov/Archives/edgar/data/1050446/000119312516479811/0001193125-16-479811-index.htm" TargetMode="External"/><Relationship Id="rId46" Type="http://schemas.openxmlformats.org/officeDocument/2006/relationships/hyperlink" Target="https://www.sec.gov/Archives/edgar/data/1050446/000119312508032765/0001193125-08-032765-index.htm" TargetMode="External"/><Relationship Id="rId59" Type="http://schemas.openxmlformats.org/officeDocument/2006/relationships/hyperlink" Target="https://www.sec.gov/Archives/edgar/data/1050446/000156459023002012/0001564590-23-002012-index.htm" TargetMode="External"/><Relationship Id="rId67" Type="http://schemas.openxmlformats.org/officeDocument/2006/relationships/hyperlink" Target="https://www.sec.gov/Archives/edgar/data/1050446/000119312515065807/0001193125-15-065807-index.htm" TargetMode="External"/><Relationship Id="rId20" Type="http://schemas.openxmlformats.org/officeDocument/2006/relationships/hyperlink" Target="https://www.sec.gov/Archives/edgar/data/1050446/000119312507038385/0001193125-07-038385-index.htm" TargetMode="External"/><Relationship Id="rId41" Type="http://schemas.openxmlformats.org/officeDocument/2006/relationships/hyperlink" Target="https://www.sec.gov/Archives/edgar/data/1050446/000119312513055763/0001193125-13-055763-index.htm" TargetMode="External"/><Relationship Id="rId54" Type="http://schemas.openxmlformats.org/officeDocument/2006/relationships/hyperlink" Target="https://www.sec.gov/Archives/edgar/data/1050446/000092838500001133/0000928385-00-001133-index.html" TargetMode="External"/><Relationship Id="rId62" Type="http://schemas.openxmlformats.org/officeDocument/2006/relationships/hyperlink" Target="https://www.sec.gov/Archives/edgar/data/1050446/000156459020004679/0001564590-20-004679-index.htm" TargetMode="External"/><Relationship Id="rId70" Type="http://schemas.openxmlformats.org/officeDocument/2006/relationships/hyperlink" Target="https://www.sec.gov/Archives/edgar/data/1050446/000119312512067605/0001193125-12-067605-index.htm" TargetMode="External"/><Relationship Id="rId75" Type="http://schemas.openxmlformats.org/officeDocument/2006/relationships/hyperlink" Target="https://www.sec.gov/Archives/edgar/data/1050446/000119312507038385/0001193125-07-038385-index.htm" TargetMode="External"/><Relationship Id="rId83" Type="http://schemas.openxmlformats.org/officeDocument/2006/relationships/hyperlink" Target="https://www.sec.gov/Archives/edgar/data/1050446/000092838599000941/0000928385-99-000941-index.html" TargetMode="External"/><Relationship Id="rId1" Type="http://schemas.openxmlformats.org/officeDocument/2006/relationships/hyperlink" Target="https://www.sec.gov/Archives/edgar/data/1050446/000095017025063536/0000950170-25-063536-index.htm" TargetMode="External"/><Relationship Id="rId6" Type="http://schemas.openxmlformats.org/officeDocument/2006/relationships/hyperlink" Target="https://www.sec.gov/Archives/edgar/data/1050446/000156459021005783/0001564590-21-005783-index.htm" TargetMode="External"/><Relationship Id="rId15" Type="http://schemas.openxmlformats.org/officeDocument/2006/relationships/hyperlink" Target="https://www.sec.gov/Archives/edgar/data/1050446/000119312512067605/0001193125-12-067605-index.htm" TargetMode="External"/><Relationship Id="rId23" Type="http://schemas.openxmlformats.org/officeDocument/2006/relationships/hyperlink" Target="https://www.sec.gov/Archives/edgar/data/1050446/000119312504039331/0001193125-04-039331-index.htm" TargetMode="External"/><Relationship Id="rId28" Type="http://schemas.openxmlformats.org/officeDocument/2006/relationships/hyperlink" Target="https://www.sec.gov/Archives/edgar/data/1050446/000092838599000941/0000928385-99-000941-index.html" TargetMode="External"/><Relationship Id="rId36" Type="http://schemas.openxmlformats.org/officeDocument/2006/relationships/hyperlink" Target="https://www.sec.gov/Archives/edgar/data/1050446/000156459018001547/0001564590-18-001547-index.htm" TargetMode="External"/><Relationship Id="rId49" Type="http://schemas.openxmlformats.org/officeDocument/2006/relationships/hyperlink" Target="https://www.sec.gov/Archives/edgar/data/1050446/000119312505051836/0001193125-05-051836-index.htm" TargetMode="External"/><Relationship Id="rId57" Type="http://schemas.openxmlformats.org/officeDocument/2006/relationships/hyperlink" Target="https://www.sec.gov/Archives/edgar/data/1050446/000095017025021814/0000950170-25-021814-index.htm" TargetMode="External"/><Relationship Id="rId10" Type="http://schemas.openxmlformats.org/officeDocument/2006/relationships/hyperlink" Target="https://www.sec.gov/Archives/edgar/data/1050446/000156459017001395/0001564590-17-001395-index.htm" TargetMode="External"/><Relationship Id="rId31" Type="http://schemas.openxmlformats.org/officeDocument/2006/relationships/hyperlink" Target="https://www.sec.gov/Archives/edgar/data/1050446/000156459023002012/0001564590-23-002012-index.htm" TargetMode="External"/><Relationship Id="rId44" Type="http://schemas.openxmlformats.org/officeDocument/2006/relationships/hyperlink" Target="https://www.sec.gov/Archives/edgar/data/1050446/000119312510038870/0001193125-10-038870-index.htm" TargetMode="External"/><Relationship Id="rId52" Type="http://schemas.openxmlformats.org/officeDocument/2006/relationships/hyperlink" Target="https://www.sec.gov/Archives/edgar/data/1050446/000091664102000466/0000916641-02-000466-index.htm" TargetMode="External"/><Relationship Id="rId60" Type="http://schemas.openxmlformats.org/officeDocument/2006/relationships/hyperlink" Target="https://www.sec.gov/Archives/edgar/data/1050446/000156459022005287/0001564590-22-005287-index.htm" TargetMode="External"/><Relationship Id="rId65" Type="http://schemas.openxmlformats.org/officeDocument/2006/relationships/hyperlink" Target="https://www.sec.gov/Archives/edgar/data/1050446/000156459017001395/0001564590-17-001395-index.htm" TargetMode="External"/><Relationship Id="rId73" Type="http://schemas.openxmlformats.org/officeDocument/2006/relationships/hyperlink" Target="https://www.sec.gov/Archives/edgar/data/1050446/000119312509035421/0001193125-09-035421-index.htm" TargetMode="External"/><Relationship Id="rId78" Type="http://schemas.openxmlformats.org/officeDocument/2006/relationships/hyperlink" Target="https://www.sec.gov/Archives/edgar/data/1050446/000119312504039331/0001193125-04-039331-index.htm" TargetMode="External"/><Relationship Id="rId81" Type="http://schemas.openxmlformats.org/officeDocument/2006/relationships/hyperlink" Target="https://www.sec.gov/Archives/edgar/data/1050446/000091664101500027/0000916641-01-500027-index.htm" TargetMode="External"/><Relationship Id="rId86" Type="http://schemas.openxmlformats.org/officeDocument/2006/relationships/queryTable" Target="../queryTables/queryTable5.xml"/><Relationship Id="rId4" Type="http://schemas.openxmlformats.org/officeDocument/2006/relationships/hyperlink" Target="https://www.sec.gov/Archives/edgar/data/1050446/000156459023002012/0001564590-23-002012-index.htm" TargetMode="External"/><Relationship Id="rId9" Type="http://schemas.openxmlformats.org/officeDocument/2006/relationships/hyperlink" Target="https://www.sec.gov/Archives/edgar/data/1050446/000156459018001547/0001564590-18-001547-index.htm" TargetMode="External"/><Relationship Id="rId13" Type="http://schemas.openxmlformats.org/officeDocument/2006/relationships/hyperlink" Target="https://www.sec.gov/Archives/edgar/data/1050446/000119312514048295/0001193125-14-048295-index.htm" TargetMode="External"/><Relationship Id="rId18" Type="http://schemas.openxmlformats.org/officeDocument/2006/relationships/hyperlink" Target="https://www.sec.gov/Archives/edgar/data/1050446/000119312509035421/0001193125-09-035421-index.htm" TargetMode="External"/><Relationship Id="rId39" Type="http://schemas.openxmlformats.org/officeDocument/2006/relationships/hyperlink" Target="https://www.sec.gov/Archives/edgar/data/1050446/000119312515065807/0001193125-15-065807-index.htm" TargetMode="External"/><Relationship Id="rId34" Type="http://schemas.openxmlformats.org/officeDocument/2006/relationships/hyperlink" Target="https://www.sec.gov/Archives/edgar/data/1050446/000156459020004679/0001564590-20-004679-index.htm" TargetMode="External"/><Relationship Id="rId50" Type="http://schemas.openxmlformats.org/officeDocument/2006/relationships/hyperlink" Target="https://www.sec.gov/Archives/edgar/data/1050446/000119312504039331/0001193125-04-039331-index.htm" TargetMode="External"/><Relationship Id="rId55" Type="http://schemas.openxmlformats.org/officeDocument/2006/relationships/hyperlink" Target="https://www.sec.gov/Archives/edgar/data/1050446/000092838599000941/0000928385-99-000941-index.html" TargetMode="External"/><Relationship Id="rId76" Type="http://schemas.openxmlformats.org/officeDocument/2006/relationships/hyperlink" Target="https://www.sec.gov/Archives/edgar/data/1050446/000119312506049859/0001193125-06-049859-index.htm" TargetMode="External"/><Relationship Id="rId7" Type="http://schemas.openxmlformats.org/officeDocument/2006/relationships/hyperlink" Target="https://www.sec.gov/Archives/edgar/data/1050446/000156459020004679/0001564590-20-004679-index.htm" TargetMode="External"/><Relationship Id="rId71" Type="http://schemas.openxmlformats.org/officeDocument/2006/relationships/hyperlink" Target="https://www.sec.gov/Archives/edgar/data/1050446/000119312511040481/0001193125-11-040481-index.htm" TargetMode="External"/><Relationship Id="rId2" Type="http://schemas.openxmlformats.org/officeDocument/2006/relationships/hyperlink" Target="https://www.sec.gov/Archives/edgar/data/1050446/000095017025021814/0000950170-25-021814-index.htm" TargetMode="External"/><Relationship Id="rId29" Type="http://schemas.openxmlformats.org/officeDocument/2006/relationships/hyperlink" Target="https://www.sec.gov/Archives/edgar/data/1050446/000095017025021814/0000950170-25-021814-index.htm" TargetMode="External"/><Relationship Id="rId24" Type="http://schemas.openxmlformats.org/officeDocument/2006/relationships/hyperlink" Target="https://www.sec.gov/Archives/edgar/data/1050446/000095016803000687/0000950168-03-000687-index.htm" TargetMode="External"/><Relationship Id="rId40" Type="http://schemas.openxmlformats.org/officeDocument/2006/relationships/hyperlink" Target="https://www.sec.gov/Archives/edgar/data/1050446/000119312514048295/0001193125-14-048295-index.htm" TargetMode="External"/><Relationship Id="rId45" Type="http://schemas.openxmlformats.org/officeDocument/2006/relationships/hyperlink" Target="https://www.sec.gov/Archives/edgar/data/1050446/000119312509035421/0001193125-09-035421-index.htm" TargetMode="External"/><Relationship Id="rId66" Type="http://schemas.openxmlformats.org/officeDocument/2006/relationships/hyperlink" Target="https://www.sec.gov/Archives/edgar/data/1050446/000119312516479811/0001193125-16-479811-index.htm" TargetMode="External"/><Relationship Id="rId87" Type="http://schemas.openxmlformats.org/officeDocument/2006/relationships/queryTable" Target="../queryTables/queryTable6.xml"/><Relationship Id="rId61" Type="http://schemas.openxmlformats.org/officeDocument/2006/relationships/hyperlink" Target="https://www.sec.gov/Archives/edgar/data/1050446/000156459021005783/0001564590-21-005783-index.htm" TargetMode="External"/><Relationship Id="rId82" Type="http://schemas.openxmlformats.org/officeDocument/2006/relationships/hyperlink" Target="https://www.sec.gov/Archives/edgar/data/1050446/000092838500001133/0000928385-00-001133-index.html" TargetMode="External"/></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7.xml"/><Relationship Id="rId2" Type="http://schemas.openxmlformats.org/officeDocument/2006/relationships/hyperlink" Target="file:///stocks/cmco/market-cap" TargetMode="External"/><Relationship Id="rId1" Type="http://schemas.openxmlformats.org/officeDocument/2006/relationships/hyperlink" Target="file:///stocks/cmco/revenue" TargetMode="External"/><Relationship Id="rId6" Type="http://schemas.openxmlformats.org/officeDocument/2006/relationships/queryTable" Target="../queryTables/queryTable10.xm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7.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hyperlink" Target="file:///stocks/mstr/market-cap" TargetMode="External"/><Relationship Id="rId1" Type="http://schemas.openxmlformats.org/officeDocument/2006/relationships/hyperlink" Target="file:///stocks/mstr/revenue" TargetMode="External"/><Relationship Id="rId6" Type="http://schemas.openxmlformats.org/officeDocument/2006/relationships/queryTable" Target="../queryTables/queryTable14.xml"/><Relationship Id="rId5" Type="http://schemas.openxmlformats.org/officeDocument/2006/relationships/queryTable" Target="../queryTables/queryTable13.xml"/><Relationship Id="rId4" Type="http://schemas.openxmlformats.org/officeDocument/2006/relationships/queryTable" Target="../queryTables/queryTable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E0902-CE93-3048-853A-1F600508FFC9}">
  <sheetPr codeName="Sheet10">
    <tabColor theme="6" tint="0.39997558519241921"/>
  </sheetPr>
  <dimension ref="A1:M58"/>
  <sheetViews>
    <sheetView workbookViewId="0">
      <selection activeCell="M5" sqref="M5"/>
    </sheetView>
  </sheetViews>
  <sheetFormatPr baseColWidth="10" defaultRowHeight="16" x14ac:dyDescent="0.2"/>
  <cols>
    <col min="1" max="1" width="45.1640625" customWidth="1"/>
    <col min="3" max="3" width="16" customWidth="1"/>
    <col min="4" max="4" width="24.1640625" customWidth="1"/>
    <col min="5" max="5" width="9.83203125" customWidth="1"/>
    <col min="6" max="6" width="12.83203125" customWidth="1"/>
    <col min="7" max="7" width="11.6640625" customWidth="1"/>
    <col min="8" max="8" width="11" customWidth="1"/>
    <col min="9" max="9" width="13.1640625" customWidth="1"/>
    <col min="10" max="10" width="17.5" customWidth="1"/>
    <col min="11" max="11" width="11" customWidth="1"/>
  </cols>
  <sheetData>
    <row r="1" spans="1:13" x14ac:dyDescent="0.2">
      <c r="A1" t="s">
        <v>218</v>
      </c>
    </row>
    <row r="2" spans="1:13" x14ac:dyDescent="0.2">
      <c r="A2" s="35" t="s">
        <v>214</v>
      </c>
      <c r="B2" s="35" t="s">
        <v>208</v>
      </c>
      <c r="C2" s="35" t="s">
        <v>209</v>
      </c>
      <c r="D2" s="35" t="s">
        <v>45</v>
      </c>
      <c r="E2" s="35" t="s">
        <v>80</v>
      </c>
      <c r="F2" s="35" t="s">
        <v>210</v>
      </c>
      <c r="G2" s="35" t="s">
        <v>212</v>
      </c>
      <c r="H2" s="35" t="s">
        <v>211</v>
      </c>
      <c r="I2" s="35" t="s">
        <v>213</v>
      </c>
    </row>
    <row r="3" spans="1:13" x14ac:dyDescent="0.2">
      <c r="A3" s="36" t="e" vm="1">
        <v>#VALUE!</v>
      </c>
      <c r="B3" s="29" t="str" cm="1">
        <f t="array" aca="1" ref="B3" ca="1">_FV(A3,"Ticker symbol",TRUE)</f>
        <v>STZ</v>
      </c>
      <c r="C3" s="29" t="str" cm="1">
        <f t="array" aca="1" ref="C3" ca="1">_FV(A3,"Industry")</f>
        <v>Beverages</v>
      </c>
      <c r="D3" s="29" cm="1">
        <f t="array" aca="1" ref="D3" ca="1">_FV(A3,"Market cap",TRUE)</f>
        <v>29876442498</v>
      </c>
      <c r="E3" s="29" cm="1">
        <f t="array" aca="1" ref="E3" ca="1">_FV(A3,"Price")</f>
        <v>169.47</v>
      </c>
      <c r="F3" s="13" cm="1">
        <f t="array" aca="1" ref="F3" ca="1">_FV(A3,"Change (%)",TRUE)</f>
        <v>-1.1606E-2</v>
      </c>
      <c r="G3" s="29" cm="1">
        <f t="array" aca="1" ref="G3" ca="1">_FV(A3,"52 week high",TRUE)</f>
        <v>261.06</v>
      </c>
      <c r="H3" s="29" cm="1">
        <f t="array" aca="1" ref="H3" ca="1">_FV(A3,"52 week low",TRUE)</f>
        <v>159.35</v>
      </c>
      <c r="I3" s="30" cm="1">
        <f t="array" aca="1" ref="I3" ca="1">_FV(A3,"Volume")</f>
        <v>682438</v>
      </c>
    </row>
    <row r="4" spans="1:13" x14ac:dyDescent="0.2">
      <c r="A4" s="36" t="e" vm="2">
        <v>#VALUE!</v>
      </c>
      <c r="B4" s="29" t="str" cm="1">
        <f t="array" aca="1" ref="B4" ca="1">_FV(A4,"Ticker symbol",TRUE)</f>
        <v>MSFT</v>
      </c>
      <c r="C4" s="29" t="str" cm="1">
        <f t="array" aca="1" ref="C4" ca="1">_FV(A4,"Industry")</f>
        <v>Software &amp; IT Services</v>
      </c>
      <c r="D4" s="29" cm="1">
        <f t="array" aca="1" ref="D4" ca="1">_FV(A4,"Market cap",TRUE)</f>
        <v>3984140885759</v>
      </c>
      <c r="E4" s="29" cm="1">
        <f t="array" aca="1" ref="E4" ca="1">_FV(A4,"Price")</f>
        <v>536.04</v>
      </c>
      <c r="F4" s="13" cm="1">
        <f t="array" aca="1" ref="F4" ca="1">_FV(A4,"Change (%)",TRUE)</f>
        <v>4.4423999999999998E-2</v>
      </c>
      <c r="G4" s="29" cm="1">
        <f t="array" aca="1" ref="G4" ca="1">_FV(A4,"52 week high",TRUE)</f>
        <v>555.45000000000005</v>
      </c>
      <c r="H4" s="29" cm="1">
        <f t="array" aca="1" ref="H4" ca="1">_FV(A4,"52 week low",TRUE)</f>
        <v>344.79</v>
      </c>
      <c r="I4" s="30" cm="1">
        <f t="array" aca="1" ref="I4" ca="1">_FV(A4,"Volume")</f>
        <v>27709876</v>
      </c>
    </row>
    <row r="8" spans="1:13" x14ac:dyDescent="0.2">
      <c r="A8" t="s">
        <v>217</v>
      </c>
    </row>
    <row r="9" spans="1:13" x14ac:dyDescent="0.2">
      <c r="A9" t="s">
        <v>214</v>
      </c>
      <c r="B9" t="s">
        <v>208</v>
      </c>
      <c r="C9" t="s">
        <v>209</v>
      </c>
      <c r="D9" t="s">
        <v>45</v>
      </c>
      <c r="E9" t="s">
        <v>80</v>
      </c>
      <c r="F9" t="s">
        <v>210</v>
      </c>
      <c r="G9" t="s">
        <v>212</v>
      </c>
      <c r="H9" t="s">
        <v>211</v>
      </c>
      <c r="I9" t="s">
        <v>213</v>
      </c>
      <c r="J9" t="s">
        <v>215</v>
      </c>
      <c r="K9" t="s">
        <v>216</v>
      </c>
      <c r="L9" t="s">
        <v>388</v>
      </c>
      <c r="M9" t="s">
        <v>389</v>
      </c>
    </row>
    <row r="10" spans="1:13" x14ac:dyDescent="0.2">
      <c r="A10" t="e" vm="3">
        <v>#VALUE!</v>
      </c>
      <c r="B10" s="29" t="str" cm="1">
        <f t="array" aca="1" ref="B10" ca="1">_FV(A10,"Ticker symbol",TRUE)</f>
        <v>PSIX</v>
      </c>
      <c r="C10" s="29" t="str" cm="1">
        <f t="array" aca="1" ref="C10" ca="1">_FV(A10,"Industry")</f>
        <v>Automobiles &amp; Auto Parts</v>
      </c>
      <c r="D10" s="29" cm="1">
        <f t="array" aca="1" ref="D10" ca="1">_FV(A10,"Market cap",TRUE)</f>
        <v>2160269003</v>
      </c>
      <c r="E10" s="29" cm="1">
        <f t="array" aca="1" ref="E10" ca="1">_FV(A10,"Price")</f>
        <v>93.89</v>
      </c>
      <c r="F10" s="13" cm="1">
        <f t="array" aca="1" ref="F10" ca="1">_FV(A10,"Change (%)",TRUE)</f>
        <v>6.4994999999999997E-2</v>
      </c>
      <c r="G10" s="29" cm="1">
        <f t="array" aca="1" ref="G10" ca="1">_FV(A10,"52 week high",TRUE)</f>
        <v>100.98520000000001</v>
      </c>
      <c r="H10" s="29" cm="1">
        <f t="array" aca="1" ref="H10" ca="1">_FV(A10,"52 week low",TRUE)</f>
        <v>9.01</v>
      </c>
      <c r="I10" s="30" cm="1">
        <f t="array" aca="1" ref="I10" ca="1">_FV(A10,"Volume")</f>
        <v>400722</v>
      </c>
      <c r="J10" s="29" t="str" cm="1">
        <f t="array" aca="1" ref="J10" ca="1">_FV(Table13[[#This Row],[Company]],"Headquarters")</f>
        <v>201 Mittel Drive, WOOD DALE, IL, 60191 US</v>
      </c>
      <c r="K10" cm="1">
        <f t="array" aca="1" ref="K10" ca="1">_FV(Table13[[#This Row],[Company]],"Year incorporated",TRUE)</f>
        <v>2011</v>
      </c>
      <c r="L10" s="29"/>
      <c r="M10" s="64" t="b">
        <v>0</v>
      </c>
    </row>
    <row r="11" spans="1:13" x14ac:dyDescent="0.2">
      <c r="A11" t="e" vm="4">
        <v>#VALUE!</v>
      </c>
      <c r="B11" s="29" t="str" cm="1">
        <f t="array" aca="1" ref="B11" ca="1">_FV(A11,"Ticker symbol",TRUE)</f>
        <v>ALB</v>
      </c>
      <c r="C11" s="29" t="str" cm="1">
        <f t="array" aca="1" ref="C11" ca="1">_FV(A11,"Industry")</f>
        <v>Chemicals</v>
      </c>
      <c r="D11" s="29" cm="1">
        <f t="array" aca="1" ref="D11" ca="1">_FV(A11,"Market cap",TRUE)</f>
        <v>7892693172</v>
      </c>
      <c r="E11" s="29" cm="1">
        <f t="array" aca="1" ref="E11" ca="1">_FV(A11,"Price")</f>
        <v>67.08</v>
      </c>
      <c r="F11" s="13" cm="1">
        <f t="array" aca="1" ref="F11" ca="1">_FV(A11,"Change (%)",TRUE)</f>
        <v>-2.6274000000000002E-2</v>
      </c>
      <c r="G11" s="29" cm="1">
        <f t="array" aca="1" ref="G11" ca="1">_FV(A11,"52 week high",TRUE)</f>
        <v>113.91</v>
      </c>
      <c r="H11" s="29" cm="1">
        <f t="array" aca="1" ref="H11" ca="1">_FV(A11,"52 week low",TRUE)</f>
        <v>49.430300000000003</v>
      </c>
      <c r="I11" s="30" cm="1">
        <f t="array" aca="1" ref="I11" ca="1">_FV(A11,"Volume")</f>
        <v>2920296</v>
      </c>
      <c r="J11" s="29" t="str" cm="1">
        <f t="array" aca="1" ref="J11" ca="1">_FV(Table13[[#This Row],[Company]],"Headquarters")</f>
        <v>4250 Congress Street, Suite 900, CHARLOTTE, NC, 28209 US</v>
      </c>
      <c r="K11" cm="1">
        <f t="array" aca="1" ref="K11" ca="1">_FV(Table13[[#This Row],[Company]],"Year incorporated",TRUE)</f>
        <v>1993</v>
      </c>
      <c r="L11" s="29"/>
      <c r="M11" s="64" t="b">
        <v>0</v>
      </c>
    </row>
    <row r="12" spans="1:13" x14ac:dyDescent="0.2">
      <c r="A12" t="e" vm="5">
        <v>#VALUE!</v>
      </c>
      <c r="B12" s="29" t="str" cm="1">
        <f t="array" aca="1" ref="B12" ca="1">_FV(A12,"Ticker symbol",TRUE)</f>
        <v>NSSC</v>
      </c>
      <c r="C12" s="29" t="str" cm="1">
        <f t="array" aca="1" ref="C12" ca="1">_FV(A12,"Industry")</f>
        <v>Communications &amp; Networking</v>
      </c>
      <c r="D12" s="29" cm="1">
        <f t="array" aca="1" ref="D12" ca="1">_FV(A12,"Market cap",TRUE)</f>
        <v>1104992455</v>
      </c>
      <c r="E12" s="29" cm="1">
        <f t="array" aca="1" ref="E12" ca="1">_FV(A12,"Price")</f>
        <v>30.99</v>
      </c>
      <c r="F12" s="13" cm="1">
        <f t="array" aca="1" ref="F12" ca="1">_FV(A12,"Change (%)",TRUE)</f>
        <v>1.2920000000000002E-3</v>
      </c>
      <c r="G12" s="29" cm="1">
        <f t="array" aca="1" ref="G12" ca="1">_FV(A12,"52 week high",TRUE)</f>
        <v>58.09</v>
      </c>
      <c r="H12" s="29" cm="1">
        <f t="array" aca="1" ref="H12" ca="1">_FV(A12,"52 week low",TRUE)</f>
        <v>19</v>
      </c>
      <c r="I12" s="30" cm="1">
        <f t="array" aca="1" ref="I12" ca="1">_FV(A12,"Volume")</f>
        <v>66054</v>
      </c>
      <c r="J12" s="29" t="str" cm="1">
        <f t="array" aca="1" ref="J12" ca="1">_FV(Table13[[#This Row],[Company]],"Headquarters")</f>
        <v>333 Bayview Ave, AMITYVILLE, NY, 11701 US</v>
      </c>
      <c r="K12" cm="1">
        <f t="array" aca="1" ref="K12" ca="1">_FV(Table13[[#This Row],[Company]],"Year incorporated",TRUE)</f>
        <v>1971</v>
      </c>
      <c r="L12" s="29"/>
      <c r="M12" s="64" t="b">
        <v>0</v>
      </c>
    </row>
    <row r="13" spans="1:13" x14ac:dyDescent="0.2">
      <c r="A13" t="e" vm="6">
        <v>#VALUE!</v>
      </c>
      <c r="B13" s="29" t="str" cm="1">
        <f t="array" aca="1" ref="B13" ca="1">_FV(A13,"Ticker symbol",TRUE)</f>
        <v>DELL</v>
      </c>
      <c r="C13" s="29" t="str" cm="1">
        <f t="array" aca="1" ref="C13" ca="1">_FV(A13,"Industry")</f>
        <v>Computers, Phones &amp; Household Electronics</v>
      </c>
      <c r="D13" s="29" cm="1">
        <f t="array" aca="1" ref="D13" ca="1">_FV(A13,"Market cap",TRUE)</f>
        <v>90608092532</v>
      </c>
      <c r="E13" s="29" cm="1">
        <f t="array" aca="1" ref="E13" ca="1">_FV(A13,"Price")</f>
        <v>133.96</v>
      </c>
      <c r="F13" s="13" cm="1">
        <f t="array" aca="1" ref="F13" ca="1">_FV(A13,"Change (%)",TRUE)</f>
        <v>3.1450000000000002E-3</v>
      </c>
      <c r="G13" s="29" cm="1">
        <f t="array" aca="1" ref="G13" ca="1">_FV(A13,"52 week high",TRUE)</f>
        <v>147.66</v>
      </c>
      <c r="H13" s="29" cm="1">
        <f t="array" aca="1" ref="H13" ca="1">_FV(A13,"52 week low",TRUE)</f>
        <v>66.245000000000005</v>
      </c>
      <c r="I13" s="30" cm="1">
        <f t="array" aca="1" ref="I13" ca="1">_FV(A13,"Volume")</f>
        <v>1340774</v>
      </c>
      <c r="J13" s="29" t="str" cm="1">
        <f t="array" aca="1" ref="J13" ca="1">_FV(Table13[[#This Row],[Company]],"Headquarters")</f>
        <v>ONE DELL WAY, ROUND ROCK, TX, 78682 US</v>
      </c>
      <c r="K13" cm="1">
        <f t="array" aca="1" ref="K13" ca="1">_FV(Table13[[#This Row],[Company]],"Year incorporated",TRUE)</f>
        <v>2013</v>
      </c>
      <c r="L13" s="29"/>
      <c r="M13" s="64" t="b">
        <v>0</v>
      </c>
    </row>
    <row r="14" spans="1:13" x14ac:dyDescent="0.2">
      <c r="A14" t="e" vm="7">
        <v>#VALUE!</v>
      </c>
      <c r="B14" s="29" t="str" cm="1">
        <f t="array" aca="1" ref="B14" ca="1">_FV(A14,"Ticker symbol",TRUE)</f>
        <v>VST</v>
      </c>
      <c r="C14" s="29" t="str" cm="1">
        <f t="array" aca="1" ref="C14" ca="1">_FV(A14,"Industry")</f>
        <v>Electrical Utilities &amp; IPPs</v>
      </c>
      <c r="D14" s="29" cm="1">
        <f t="array" aca="1" ref="D14" ca="1">_FV(A14,"Market cap",TRUE)</f>
        <v>70401189293</v>
      </c>
      <c r="E14" s="29" cm="1">
        <f t="array" aca="1" ref="E14" ca="1">_FV(A14,"Price")</f>
        <v>207.47</v>
      </c>
      <c r="F14" s="13" cm="1">
        <f t="array" aca="1" ref="F14" ca="1">_FV(A14,"Change (%)",TRUE)</f>
        <v>2.0280000000000003E-3</v>
      </c>
      <c r="G14" s="29" cm="1">
        <f t="array" aca="1" ref="G14" ca="1">_FV(A14,"52 week high",TRUE)</f>
        <v>213.04820000000001</v>
      </c>
      <c r="H14" s="29" cm="1">
        <f t="array" aca="1" ref="H14" ca="1">_FV(A14,"52 week low",TRUE)</f>
        <v>66.5</v>
      </c>
      <c r="I14" s="30" cm="1">
        <f t="array" aca="1" ref="I14" ca="1">_FV(A14,"Volume")</f>
        <v>2600284</v>
      </c>
      <c r="J14" s="29" t="str" cm="1">
        <f t="array" aca="1" ref="J14" ca="1">_FV(Table13[[#This Row],[Company]],"Headquarters")</f>
        <v>6555 Sierra Drive, IRVING, TX, 75039 US</v>
      </c>
      <c r="K14" cm="1">
        <f t="array" aca="1" ref="K14" ca="1">_FV(Table13[[#This Row],[Company]],"Year incorporated",TRUE)</f>
        <v>2016</v>
      </c>
      <c r="L14" s="29"/>
      <c r="M14" s="64" t="b">
        <v>0</v>
      </c>
    </row>
    <row r="15" spans="1:13" x14ac:dyDescent="0.2">
      <c r="A15" t="e" vm="8">
        <v>#VALUE!</v>
      </c>
      <c r="B15" s="29" t="str" cm="1">
        <f t="array" aca="1" ref="B15" ca="1">_FV(A15,"Ticker symbol",TRUE)</f>
        <v>ZBRA</v>
      </c>
      <c r="C15" s="29" t="str" cm="1">
        <f t="array" aca="1" ref="C15" ca="1">_FV(A15,"Industry")</f>
        <v>Electronic Equipment &amp; Parts</v>
      </c>
      <c r="D15" s="29" cm="1">
        <f t="array" aca="1" ref="D15" ca="1">_FV(A15,"Market cap",TRUE)</f>
        <v>17690950048</v>
      </c>
      <c r="E15" s="29" cm="1">
        <f t="array" aca="1" ref="E15" ca="1">_FV(A15,"Price")</f>
        <v>347.875</v>
      </c>
      <c r="F15" s="13" cm="1">
        <f t="array" aca="1" ref="F15" ca="1">_FV(A15,"Change (%)",TRUE)</f>
        <v>4.6586999999999996E-2</v>
      </c>
      <c r="G15" s="29" cm="1">
        <f t="array" aca="1" ref="G15" ca="1">_FV(A15,"52 week high",TRUE)</f>
        <v>427.755</v>
      </c>
      <c r="H15" s="29" cm="1">
        <f t="array" aca="1" ref="H15" ca="1">_FV(A15,"52 week low",TRUE)</f>
        <v>205.73</v>
      </c>
      <c r="I15" s="30" cm="1">
        <f t="array" aca="1" ref="I15" ca="1">_FV(A15,"Volume")</f>
        <v>447138</v>
      </c>
      <c r="J15" s="29" t="str" cm="1">
        <f t="array" aca="1" ref="J15" ca="1">_FV(Table13[[#This Row],[Company]],"Headquarters")</f>
        <v>3 Overlook Point, LINCOLNSHIRE, IL, 60069 US</v>
      </c>
      <c r="K15" cm="1">
        <f t="array" aca="1" ref="K15" ca="1">_FV(Table13[[#This Row],[Company]],"Year incorporated",TRUE)</f>
        <v>1991</v>
      </c>
      <c r="L15" s="29"/>
      <c r="M15" s="64" t="b">
        <v>0</v>
      </c>
    </row>
    <row r="16" spans="1:13" x14ac:dyDescent="0.2">
      <c r="A16" t="e" vm="9">
        <v>#VALUE!</v>
      </c>
      <c r="B16" s="29" t="str" cm="1">
        <f t="array" aca="1" ref="B16" ca="1">_FV(A16,"Ticker symbol",TRUE)</f>
        <v>ESEA</v>
      </c>
      <c r="C16" s="29" t="str" cm="1">
        <f t="array" aca="1" ref="C16" ca="1">_FV(A16,"Industry")</f>
        <v>Freight &amp; Logistics Services</v>
      </c>
      <c r="D16" s="29" cm="1">
        <f t="array" aca="1" ref="D16" ca="1">_FV(A16,"Market cap",TRUE)</f>
        <v>360379600</v>
      </c>
      <c r="E16" s="29" cm="1">
        <f t="array" aca="1" ref="E16" ca="1">_FV(A16,"Price")</f>
        <v>51.96</v>
      </c>
      <c r="F16" s="13" cm="1">
        <f t="array" aca="1" ref="F16" ca="1">_FV(A16,"Change (%)",TRUE)</f>
        <v>1.0698000000000001E-2</v>
      </c>
      <c r="G16" s="29" cm="1">
        <f t="array" aca="1" ref="G16" ca="1">_FV(A16,"52 week high",TRUE)</f>
        <v>53.05</v>
      </c>
      <c r="H16" s="29" cm="1">
        <f t="array" aca="1" ref="H16" ca="1">_FV(A16,"52 week low",TRUE)</f>
        <v>24.5686</v>
      </c>
      <c r="I16" s="30" cm="1">
        <f t="array" aca="1" ref="I16" ca="1">_FV(A16,"Volume")</f>
        <v>15458</v>
      </c>
      <c r="J16" s="29" t="str" cm="1">
        <f t="array" aca="1" ref="J16" ca="1">_FV(Table13[[#This Row],[Company]],"Headquarters")</f>
        <v>4 Messogiou &amp; Evropis Street, ATHINA, ATTIKI, 00000 GR</v>
      </c>
      <c r="K16" cm="1">
        <f t="array" aca="1" ref="K16" ca="1">_FV(Table13[[#This Row],[Company]],"Year incorporated",TRUE)</f>
        <v>2005</v>
      </c>
      <c r="L16" s="29"/>
      <c r="M16" s="64" t="b">
        <v>0</v>
      </c>
    </row>
    <row r="17" spans="1:13" x14ac:dyDescent="0.2">
      <c r="A17" t="e" vm="10">
        <v>#VALUE!</v>
      </c>
      <c r="B17" s="29" t="str" cm="1">
        <f t="array" aca="1" ref="B17" ca="1">_FV(A17,"Ticker symbol",TRUE)</f>
        <v>GSL</v>
      </c>
      <c r="C17" s="29" t="str" cm="1">
        <f t="array" aca="1" ref="C17" ca="1">_FV(A17,"Industry")</f>
        <v>Freight &amp; Logistics Services</v>
      </c>
      <c r="D17" s="29" cm="1">
        <f t="array" aca="1" ref="D17" ca="1">_FV(A17,"Market cap",TRUE)</f>
        <v>1012999838</v>
      </c>
      <c r="E17" s="29" cm="1">
        <f t="array" aca="1" ref="E17" ca="1">_FV(A17,"Price")</f>
        <v>28.445</v>
      </c>
      <c r="F17" s="13" cm="1">
        <f t="array" aca="1" ref="F17" ca="1">_FV(A17,"Change (%)",TRUE)</f>
        <v>-6.1150000000000006E-3</v>
      </c>
      <c r="G17" s="29" cm="1">
        <f t="array" aca="1" ref="G17" ca="1">_FV(A17,"52 week high",TRUE)</f>
        <v>29.23</v>
      </c>
      <c r="H17" s="29" cm="1">
        <f t="array" aca="1" ref="H17" ca="1">_FV(A17,"52 week low",TRUE)</f>
        <v>17.7301</v>
      </c>
      <c r="I17" s="30" cm="1">
        <f t="array" aca="1" ref="I17" ca="1">_FV(A17,"Volume")</f>
        <v>161912</v>
      </c>
      <c r="J17" s="29" t="str" cm="1">
        <f t="array" aca="1" ref="J17" ca="1">_FV(Table13[[#This Row],[Company]],"Headquarters")</f>
        <v>25 Wilton Road, LONDON, SW1V 1LW GB</v>
      </c>
      <c r="K17" cm="1">
        <f t="array" aca="1" ref="K17" ca="1">_FV(Table13[[#This Row],[Company]],"Year incorporated",TRUE)</f>
        <v>2008</v>
      </c>
      <c r="L17" s="29"/>
      <c r="M17" s="64" t="b">
        <v>0</v>
      </c>
    </row>
    <row r="18" spans="1:13" x14ac:dyDescent="0.2">
      <c r="A18" t="e" vm="11">
        <v>#VALUE!</v>
      </c>
      <c r="B18" s="29" t="str" cm="1">
        <f t="array" aca="1" ref="B18" ca="1">_FV(A18,"Ticker symbol",TRUE)</f>
        <v>ZTO</v>
      </c>
      <c r="C18" s="29" t="str" cm="1">
        <f t="array" aca="1" ref="C18" ca="1">_FV(A18,"Industry")</f>
        <v>Freight &amp; Logistics Services</v>
      </c>
      <c r="D18" s="29" cm="1">
        <f t="array" aca="1" ref="D18" ca="1">_FV(A18,"Market cap",TRUE)</f>
        <v>16356030000</v>
      </c>
      <c r="E18" s="29" cm="1">
        <f t="array" aca="1" ref="E18" ca="1">_FV(A18,"Price")</f>
        <v>19.59</v>
      </c>
      <c r="F18" s="13" cm="1">
        <f t="array" aca="1" ref="F18" ca="1">_FV(A18,"Change (%)",TRUE)</f>
        <v>-1.9519999999999999E-2</v>
      </c>
      <c r="G18" s="29" cm="1">
        <f t="array" aca="1" ref="G18" ca="1">_FV(A18,"52 week high",TRUE)</f>
        <v>27.5</v>
      </c>
      <c r="H18" s="29" cm="1">
        <f t="array" aca="1" ref="H18" ca="1">_FV(A18,"52 week low",TRUE)</f>
        <v>16.34</v>
      </c>
      <c r="I18" s="30" cm="1">
        <f t="array" aca="1" ref="I18" ca="1">_FV(A18,"Volume")</f>
        <v>852276</v>
      </c>
      <c r="J18" s="29" t="str" cm="1">
        <f t="array" aca="1" ref="J18" ca="1">_FV(Table13[[#This Row],[Company]],"Headquarters")</f>
        <v>Building 1, No. 1685, Huazhi Road, Qingpu District, SHANGHAI, SHANGHAI, 201708 CN</v>
      </c>
      <c r="K18" cm="1">
        <f t="array" aca="1" ref="K18" ca="1">_FV(Table13[[#This Row],[Company]],"Year incorporated",TRUE)</f>
        <v>2015</v>
      </c>
      <c r="L18" s="29"/>
      <c r="M18" s="64" t="b">
        <v>0</v>
      </c>
    </row>
    <row r="19" spans="1:13" x14ac:dyDescent="0.2">
      <c r="A19" t="e" vm="12">
        <v>#VALUE!</v>
      </c>
      <c r="B19" s="29" t="str" cm="1">
        <f t="array" aca="1" ref="B19" ca="1">_FV(A19,"Ticker symbol",TRUE)</f>
        <v>UPS</v>
      </c>
      <c r="C19" s="29" t="str" cm="1">
        <f t="array" aca="1" ref="C19" ca="1">_FV(A19,"Industry")</f>
        <v>Freight &amp; Logistics Services</v>
      </c>
      <c r="D19" s="29" cm="1">
        <f t="array" aca="1" ref="D19" ca="1">_FV(A19,"Market cap",TRUE)</f>
        <v>72905056591</v>
      </c>
      <c r="E19" s="29" cm="1">
        <f t="array" aca="1" ref="E19" ca="1">_FV(A19,"Price")</f>
        <v>86.094999999999999</v>
      </c>
      <c r="F19" s="13" cm="1">
        <f t="array" aca="1" ref="F19" ca="1">_FV(A19,"Change (%)",TRUE)</f>
        <v>-1.2445999999999999E-2</v>
      </c>
      <c r="G19" s="29" cm="1">
        <f t="array" aca="1" ref="G19" ca="1">_FV(A19,"52 week high",TRUE)</f>
        <v>145.01</v>
      </c>
      <c r="H19" s="29" cm="1">
        <f t="array" aca="1" ref="H19" ca="1">_FV(A19,"52 week low",TRUE)</f>
        <v>85.758700000000005</v>
      </c>
      <c r="I19" s="30" cm="1">
        <f t="array" aca="1" ref="I19" ca="1">_FV(A19,"Volume")</f>
        <v>5405089</v>
      </c>
      <c r="J19" s="29" t="str" cm="1">
        <f t="array" aca="1" ref="J19" ca="1">_FV(Table13[[#This Row],[Company]],"Headquarters")</f>
        <v>55 Glenlake Parkway Ne, ATLANTA, GA, 30328 US</v>
      </c>
      <c r="K19" cm="1">
        <f t="array" aca="1" ref="K19" ca="1">_FV(Table13[[#This Row],[Company]],"Year incorporated",TRUE)</f>
        <v>1999</v>
      </c>
      <c r="L19" s="29"/>
      <c r="M19" s="64" t="b">
        <v>0</v>
      </c>
    </row>
    <row r="20" spans="1:13" x14ac:dyDescent="0.2">
      <c r="A20" t="e" vm="13">
        <v>#VALUE!</v>
      </c>
      <c r="B20" s="29" t="str" cm="1">
        <f t="array" aca="1" ref="B20" ca="1">_FV(A20,"Ticker symbol",TRUE)</f>
        <v>BLDR</v>
      </c>
      <c r="C20" s="29" t="str" cm="1">
        <f t="array" aca="1" ref="C20" ca="1">_FV(A20,"Industry")</f>
        <v>Homebuilding &amp; Construction Supplies</v>
      </c>
      <c r="D20" s="29" cm="1">
        <f t="array" aca="1" ref="D20" ca="1">_FV(A20,"Market cap",TRUE)</f>
        <v>13590557530</v>
      </c>
      <c r="E20" s="29" cm="1">
        <f t="array" aca="1" ref="E20" ca="1">_FV(A20,"Price")</f>
        <v>122.97499999999999</v>
      </c>
      <c r="F20" s="13" cm="1">
        <f t="array" aca="1" ref="F20" ca="1">_FV(A20,"Change (%)",TRUE)</f>
        <v>-2.4858999999999999E-2</v>
      </c>
      <c r="G20" s="29" cm="1">
        <f t="array" aca="1" ref="G20" ca="1">_FV(A20,"52 week high",TRUE)</f>
        <v>203.14</v>
      </c>
      <c r="H20" s="29" cm="1">
        <f t="array" aca="1" ref="H20" ca="1">_FV(A20,"52 week low",TRUE)</f>
        <v>102.6</v>
      </c>
      <c r="I20" s="30" cm="1">
        <f t="array" aca="1" ref="I20" ca="1">_FV(A20,"Volume")</f>
        <v>1873188</v>
      </c>
      <c r="J20" s="29" t="str" cm="1">
        <f t="array" aca="1" ref="J20" ca="1">_FV(Table13[[#This Row],[Company]],"Headquarters")</f>
        <v>6031 CONNECTION DR., STE. 400, IRVING, TX, 75039 US</v>
      </c>
      <c r="K20" cm="1">
        <f t="array" aca="1" ref="K20" ca="1">_FV(Table13[[#This Row],[Company]],"Year incorporated",TRUE)</f>
        <v>1998</v>
      </c>
      <c r="L20" s="29"/>
      <c r="M20" s="64" t="b">
        <v>0</v>
      </c>
    </row>
    <row r="21" spans="1:13" x14ac:dyDescent="0.2">
      <c r="A21" t="e" vm="14">
        <v>#VALUE!</v>
      </c>
      <c r="B21" s="29" t="str" cm="1">
        <f t="array" aca="1" ref="B21" ca="1">_FV(A21,"Ticker symbol",TRUE)</f>
        <v>FG</v>
      </c>
      <c r="C21" s="29" t="str" cm="1">
        <f t="array" aca="1" ref="C21" ca="1">_FV(A21,"Industry")</f>
        <v>Insurance</v>
      </c>
      <c r="D21" s="29" cm="1">
        <f t="array" aca="1" ref="D21" ca="1">_FV(A21,"Market cap",TRUE)</f>
        <v>4257824347</v>
      </c>
      <c r="E21" s="29" cm="1">
        <f t="array" aca="1" ref="E21" ca="1">_FV(A21,"Price")</f>
        <v>31.594999999999999</v>
      </c>
      <c r="F21" s="13" cm="1">
        <f t="array" aca="1" ref="F21" ca="1">_FV(A21,"Change (%)",TRUE)</f>
        <v>2.9152999999999998E-2</v>
      </c>
      <c r="G21" s="29" cm="1">
        <f t="array" aca="1" ref="G21" ca="1">_FV(A21,"52 week high",TRUE)</f>
        <v>50.75</v>
      </c>
      <c r="H21" s="29" cm="1">
        <f t="array" aca="1" ref="H21" ca="1">_FV(A21,"52 week low",TRUE)</f>
        <v>30.01</v>
      </c>
      <c r="I21" s="30" cm="1">
        <f t="array" aca="1" ref="I21" ca="1">_FV(A21,"Volume")</f>
        <v>34934</v>
      </c>
      <c r="J21" s="29" t="str" cm="1">
        <f t="array" aca="1" ref="J21" ca="1">_FV(Table13[[#This Row],[Company]],"Headquarters")</f>
        <v>801 Grand Ave, Suite 2600, DES MOINES, IA, 50309 US</v>
      </c>
      <c r="K21" cm="1">
        <f t="array" aca="1" ref="K21" ca="1">_FV(Table13[[#This Row],[Company]],"Year incorporated",TRUE)</f>
        <v>2020</v>
      </c>
      <c r="L21" s="29"/>
      <c r="M21" s="64" t="b">
        <v>0</v>
      </c>
    </row>
    <row r="22" spans="1:13" x14ac:dyDescent="0.2">
      <c r="A22" t="e" vm="15">
        <v>#VALUE!</v>
      </c>
      <c r="B22" s="29" t="str" cm="1">
        <f t="array" aca="1" ref="B22" ca="1">_FV(A22,"Ticker symbol",TRUE)</f>
        <v>CMCO</v>
      </c>
      <c r="C22" s="29" t="str" cm="1">
        <f t="array" aca="1" ref="C22" ca="1">_FV(A22,"Industry")</f>
        <v>Machinery, Equipment &amp; Components</v>
      </c>
      <c r="D22" s="29" cm="1">
        <f t="array" aca="1" ref="D22" ca="1">_FV(A22,"Market cap",TRUE)</f>
        <v>425159272</v>
      </c>
      <c r="E22" s="29" cm="1">
        <f t="array" aca="1" ref="E22" ca="1">_FV(A22,"Price")</f>
        <v>14.82</v>
      </c>
      <c r="F22" s="13" cm="1">
        <f t="array" aca="1" ref="F22" ca="1">_FV(A22,"Change (%)",TRUE)</f>
        <v>2.3481000000000002E-2</v>
      </c>
      <c r="G22" s="29" cm="1">
        <f t="array" aca="1" ref="G22" ca="1">_FV(A22,"52 week high",TRUE)</f>
        <v>41.05</v>
      </c>
      <c r="H22" s="29" cm="1">
        <f t="array" aca="1" ref="H22" ca="1">_FV(A22,"52 week low",TRUE)</f>
        <v>11.7807</v>
      </c>
      <c r="I22" s="30" cm="1">
        <f t="array" aca="1" ref="I22" ca="1">_FV(A22,"Volume")</f>
        <v>141559</v>
      </c>
      <c r="J22" s="29" t="str" cm="1">
        <f t="array" aca="1" ref="J22" ca="1">_FV(Table13[[#This Row],[Company]],"Headquarters")</f>
        <v>13320 Ballantyne Corporate Place, Suite D, CHARLOTTE, NC, 28277 US</v>
      </c>
      <c r="K22" cm="1">
        <f t="array" aca="1" ref="K22" ca="1">_FV(Table13[[#This Row],[Company]],"Year incorporated",TRUE)</f>
        <v>1929</v>
      </c>
      <c r="L22" s="29"/>
      <c r="M22" s="64" t="b">
        <v>0</v>
      </c>
    </row>
    <row r="23" spans="1:13" x14ac:dyDescent="0.2">
      <c r="A23" t="e" vm="16">
        <v>#VALUE!</v>
      </c>
      <c r="B23" s="29" t="str" cm="1">
        <f t="array" aca="1" ref="B23" ca="1">_FV(A23,"Ticker symbol",TRUE)</f>
        <v>CAT</v>
      </c>
      <c r="C23" s="29" t="str" cm="1">
        <f t="array" aca="1" ref="C23" ca="1">_FV(A23,"Industry")</f>
        <v>Machinery, Equipment &amp; Components</v>
      </c>
      <c r="D23" s="29" cm="1">
        <f t="array" aca="1" ref="D23" ca="1">_FV(A23,"Market cap",TRUE)</f>
        <v>206298971600</v>
      </c>
      <c r="E23" s="29" cm="1">
        <f t="array" aca="1" ref="E23" ca="1">_FV(A23,"Price")</f>
        <v>438.64</v>
      </c>
      <c r="F23" s="13" cm="1">
        <f t="array" aca="1" ref="F23" ca="1">_FV(A23,"Change (%)",TRUE)</f>
        <v>1.0411999999999999E-2</v>
      </c>
      <c r="G23" s="29" cm="1">
        <f t="array" aca="1" ref="G23" ca="1">_FV(A23,"52 week high",TRUE)</f>
        <v>439.95</v>
      </c>
      <c r="H23" s="29" cm="1">
        <f t="array" aca="1" ref="H23" ca="1">_FV(A23,"52 week low",TRUE)</f>
        <v>267.3</v>
      </c>
      <c r="I23" s="30" cm="1">
        <f t="array" aca="1" ref="I23" ca="1">_FV(A23,"Volume")</f>
        <v>962105</v>
      </c>
      <c r="J23" s="29" t="str" cm="1">
        <f t="array" aca="1" ref="J23" ca="1">_FV(Table13[[#This Row],[Company]],"Headquarters")</f>
        <v>5205 N. O'connor Boulevard, Suite 100, IRVING, TX, 75039 US</v>
      </c>
      <c r="K23" s="63" cm="1">
        <f t="array" aca="1" ref="K23" ca="1">_FV(Table13[[#This Row],[Company]],"Year incorporated",TRUE)</f>
        <v>1986</v>
      </c>
      <c r="L23" s="29"/>
      <c r="M23" s="64" t="b">
        <v>0</v>
      </c>
    </row>
    <row r="24" spans="1:13" x14ac:dyDescent="0.2">
      <c r="A24" t="e" vm="17">
        <v>#VALUE!</v>
      </c>
      <c r="B24" s="29" t="str" cm="1">
        <f t="array" aca="1" ref="B24" ca="1">_FV(A24,"Ticker symbol",TRUE)</f>
        <v>GRC</v>
      </c>
      <c r="C24" s="29" t="str" cm="1">
        <f t="array" aca="1" ref="C24" ca="1">_FV(A24,"Industry")</f>
        <v>Machinery, Equipment &amp; Components</v>
      </c>
      <c r="D24" s="29" cm="1">
        <f t="array" aca="1" ref="D24" ca="1">_FV(A24,"Market cap",TRUE)</f>
        <v>1073563871</v>
      </c>
      <c r="E24" s="29" cm="1">
        <f t="array" aca="1" ref="E24" ca="1">_FV(A24,"Price")</f>
        <v>40.799999999999997</v>
      </c>
      <c r="F24" s="13" cm="1">
        <f t="array" aca="1" ref="F24" ca="1">_FV(A24,"Change (%)",TRUE)</f>
        <v>-8.0230000000000006E-3</v>
      </c>
      <c r="G24" s="29" cm="1">
        <f t="array" aca="1" ref="G24" ca="1">_FV(A24,"52 week high",TRUE)</f>
        <v>43.79</v>
      </c>
      <c r="H24" s="29" cm="1">
        <f t="array" aca="1" ref="H24" ca="1">_FV(A24,"52 week low",TRUE)</f>
        <v>30.870899999999999</v>
      </c>
      <c r="I24" s="30" cm="1">
        <f t="array" aca="1" ref="I24" ca="1">_FV(A24,"Volume")</f>
        <v>17386</v>
      </c>
      <c r="J24" s="29" t="str" cm="1">
        <f t="array" aca="1" ref="J24" ca="1">_FV(Table13[[#This Row],[Company]],"Headquarters")</f>
        <v>PO Box 1217, 600 S Airport Rd, MANSFIELD, OH, 44901 US</v>
      </c>
      <c r="K24" cm="1">
        <f t="array" aca="1" ref="K24" ca="1">_FV(Table13[[#This Row],[Company]],"Year incorporated",TRUE)</f>
        <v>1934</v>
      </c>
      <c r="L24" s="29"/>
      <c r="M24" s="64" t="b">
        <v>0</v>
      </c>
    </row>
    <row r="25" spans="1:13" x14ac:dyDescent="0.2">
      <c r="A25" t="e" vm="18">
        <v>#VALUE!</v>
      </c>
      <c r="B25" s="29" t="str" cm="1">
        <f t="array" aca="1" ref="B25" ca="1">_FV(A25,"Ticker symbol",TRUE)</f>
        <v>ATKR</v>
      </c>
      <c r="C25" s="29" t="str" cm="1">
        <f t="array" aca="1" ref="C25" ca="1">_FV(A25,"Industry")</f>
        <v>Machinery, Equipment &amp; Components</v>
      </c>
      <c r="D25" s="29" cm="1">
        <f t="array" aca="1" ref="D25" ca="1">_FV(A25,"Market cap",TRUE)</f>
        <v>2602952033</v>
      </c>
      <c r="E25" s="29" cm="1">
        <f t="array" aca="1" ref="E25" ca="1">_FV(A25,"Price")</f>
        <v>77.349999999999994</v>
      </c>
      <c r="F25" s="13" cm="1">
        <f t="array" aca="1" ref="F25" ca="1">_FV(A25,"Change (%)",TRUE)</f>
        <v>-4.3759999999999997E-3</v>
      </c>
      <c r="G25" s="29" cm="1">
        <f t="array" aca="1" ref="G25" ca="1">_FV(A25,"52 week high",TRUE)</f>
        <v>139</v>
      </c>
      <c r="H25" s="29" cm="1">
        <f t="array" aca="1" ref="H25" ca="1">_FV(A25,"52 week low",TRUE)</f>
        <v>49.92</v>
      </c>
      <c r="I25" s="30" cm="1">
        <f t="array" aca="1" ref="I25" ca="1">_FV(A25,"Volume")</f>
        <v>67200</v>
      </c>
      <c r="J25" s="29" t="str" cm="1">
        <f t="array" aca="1" ref="J25" ca="1">_FV(Table13[[#This Row],[Company]],"Headquarters")</f>
        <v>16100 SOUTH LATHROP AVENUE, HARVEY, IL, 60426 US</v>
      </c>
      <c r="K25" cm="1">
        <f t="array" aca="1" ref="K25" ca="1">_FV(Table13[[#This Row],[Company]],"Year incorporated",TRUE)</f>
        <v>2010</v>
      </c>
      <c r="L25" s="29"/>
      <c r="M25" s="64" t="b">
        <v>0</v>
      </c>
    </row>
    <row r="26" spans="1:13" x14ac:dyDescent="0.2">
      <c r="A26" t="e" vm="19">
        <v>#VALUE!</v>
      </c>
      <c r="B26" s="29" t="str" cm="1">
        <f t="array" aca="1" ref="B26" ca="1">_FV(A26,"Ticker symbol",TRUE)</f>
        <v>MLI</v>
      </c>
      <c r="C26" s="29" t="str" cm="1">
        <f t="array" aca="1" ref="C26" ca="1">_FV(A26,"Industry")</f>
        <v>Machinery, Equipment &amp; Components</v>
      </c>
      <c r="D26" s="29" cm="1">
        <f t="array" aca="1" ref="D26" ca="1">_FV(A26,"Market cap",TRUE)</f>
        <v>9686315000</v>
      </c>
      <c r="E26" s="29" cm="1">
        <f t="array" aca="1" ref="E26" ca="1">_FV(A26,"Price")</f>
        <v>86.01</v>
      </c>
      <c r="F26" s="13" cm="1">
        <f t="array" aca="1" ref="F26" ca="1">_FV(A26,"Change (%)",TRUE)</f>
        <v>-1.7029000000000002E-2</v>
      </c>
      <c r="G26" s="29" cm="1">
        <f t="array" aca="1" ref="G26" ca="1">_FV(A26,"52 week high",TRUE)</f>
        <v>96.814499999999995</v>
      </c>
      <c r="H26" s="29" cm="1">
        <f t="array" aca="1" ref="H26" ca="1">_FV(A26,"52 week low",TRUE)</f>
        <v>62.74</v>
      </c>
      <c r="I26" s="30" cm="1">
        <f t="array" aca="1" ref="I26" ca="1">_FV(A26,"Volume")</f>
        <v>215377</v>
      </c>
      <c r="J26" s="29" t="str" cm="1">
        <f t="array" aca="1" ref="J26" ca="1">_FV(Table13[[#This Row],[Company]],"Headquarters")</f>
        <v>150 Schilling Blvd., Suite 100, COLLIERVILLE, TN, 38017 US</v>
      </c>
      <c r="K26" cm="1">
        <f t="array" aca="1" ref="K26" ca="1">_FV(Table13[[#This Row],[Company]],"Year incorporated",TRUE)</f>
        <v>1990</v>
      </c>
      <c r="L26" s="29"/>
      <c r="M26" s="64" t="b">
        <v>0</v>
      </c>
    </row>
    <row r="27" spans="1:13" x14ac:dyDescent="0.2">
      <c r="A27" t="e" vm="20">
        <v>#VALUE!</v>
      </c>
      <c r="B27" s="29" t="str" cm="1">
        <f t="array" aca="1" ref="B27" ca="1">_FV(A27,"Ticker symbol",TRUE)</f>
        <v>CGNX</v>
      </c>
      <c r="C27" s="29" t="str" cm="1">
        <f t="array" aca="1" ref="C27" ca="1">_FV(A27,"Industry")</f>
        <v>Machinery, Equipment &amp; Components</v>
      </c>
      <c r="D27" s="29" cm="1">
        <f t="array" aca="1" ref="D27" ca="1">_FV(A27,"Market cap",TRUE)</f>
        <v>6842177400</v>
      </c>
      <c r="E27" s="29" cm="1">
        <f t="array" aca="1" ref="E27" ca="1">_FV(A27,"Price")</f>
        <v>40.76</v>
      </c>
      <c r="F27" s="13" cm="1">
        <f t="array" aca="1" ref="F27" ca="1">_FV(A27,"Change (%)",TRUE)</f>
        <v>0.207346</v>
      </c>
      <c r="G27" s="29" cm="1">
        <f t="array" aca="1" ref="G27" ca="1">_FV(A27,"52 week high",TRUE)</f>
        <v>50.34</v>
      </c>
      <c r="H27" s="29" cm="1">
        <f t="array" aca="1" ref="H27" ca="1">_FV(A27,"52 week low",TRUE)</f>
        <v>22.67</v>
      </c>
      <c r="I27" s="30" cm="1">
        <f t="array" aca="1" ref="I27" ca="1">_FV(A27,"Volume")</f>
        <v>3016141</v>
      </c>
      <c r="J27" s="29" t="str" cm="1">
        <f t="array" aca="1" ref="J27" ca="1">_FV(Table13[[#This Row],[Company]],"Headquarters")</f>
        <v>One Vision Drive, NATICK, MA, 01760 US</v>
      </c>
      <c r="K27" cm="1">
        <f t="array" aca="1" ref="K27" ca="1">_FV(Table13[[#This Row],[Company]],"Year incorporated",TRUE)</f>
        <v>1981</v>
      </c>
      <c r="L27" s="29"/>
      <c r="M27" s="64" t="b">
        <v>0</v>
      </c>
    </row>
    <row r="28" spans="1:13" x14ac:dyDescent="0.2">
      <c r="A28" t="e" vm="21">
        <v>#VALUE!</v>
      </c>
      <c r="B28" s="29" t="str" cm="1">
        <f t="array" aca="1" ref="B28" ca="1">_FV(A28,"Ticker symbol",TRUE)</f>
        <v>AIN</v>
      </c>
      <c r="C28" s="29" t="str" cm="1">
        <f t="array" aca="1" ref="C28" ca="1">_FV(A28,"Industry")</f>
        <v>Machinery, Equipment &amp; Components</v>
      </c>
      <c r="D28" s="29" cm="1">
        <f t="array" aca="1" ref="D28" ca="1">_FV(A28,"Market cap",TRUE)</f>
        <v>1590936000</v>
      </c>
      <c r="E28" s="29" cm="1">
        <f t="array" aca="1" ref="E28" ca="1">_FV(A28,"Price")</f>
        <v>52.68</v>
      </c>
      <c r="F28" s="13" cm="1">
        <f t="array" aca="1" ref="F28" ca="1">_FV(A28,"Change (%)",TRUE)</f>
        <v>-0.25761000000000001</v>
      </c>
      <c r="G28" s="29" cm="1">
        <f t="array" aca="1" ref="G28" ca="1">_FV(A28,"52 week high",TRUE)</f>
        <v>95.47</v>
      </c>
      <c r="H28" s="29" cm="1">
        <f t="array" aca="1" ref="H28" ca="1">_FV(A28,"52 week low",TRUE)</f>
        <v>51.2</v>
      </c>
      <c r="I28" s="30" cm="1">
        <f t="array" aca="1" ref="I28" ca="1">_FV(A28,"Volume")</f>
        <v>739420</v>
      </c>
      <c r="J28" s="29" t="str" cm="1">
        <f t="array" aca="1" ref="J28" ca="1">_FV(Table13[[#This Row],[Company]],"Headquarters")</f>
        <v>216 Airport Drive, ROCHESTER, NH, 03867 US</v>
      </c>
      <c r="K28" cm="1">
        <f t="array" aca="1" ref="K28" ca="1">_FV(Table13[[#This Row],[Company]],"Year incorporated",TRUE)</f>
        <v>1987</v>
      </c>
      <c r="L28" s="29"/>
      <c r="M28" s="64" t="b">
        <v>0</v>
      </c>
    </row>
    <row r="29" spans="1:13" x14ac:dyDescent="0.2">
      <c r="A29" t="e" vm="22">
        <v>#VALUE!</v>
      </c>
      <c r="B29" s="29" t="str" cm="1">
        <f t="array" aca="1" ref="B29" ca="1">_FV(A29,"Ticker symbol",TRUE)</f>
        <v>FCX</v>
      </c>
      <c r="C29" s="29" t="str" cm="1">
        <f t="array" aca="1" ref="C29" ca="1">_FV(A29,"Industry")</f>
        <v>Metals &amp; Mining</v>
      </c>
      <c r="D29" s="29" cm="1">
        <f t="array" aca="1" ref="D29" ca="1">_FV(A29,"Market cap",TRUE)</f>
        <v>57519666380</v>
      </c>
      <c r="E29" s="29" cm="1">
        <f t="array" aca="1" ref="E29" ca="1">_FV(A29,"Price")</f>
        <v>40.049900000000001</v>
      </c>
      <c r="F29" s="13" cm="1">
        <f t="array" aca="1" ref="F29" ca="1">_FV(A29,"Change (%)",TRUE)</f>
        <v>2.3247E-2</v>
      </c>
      <c r="G29" s="29" cm="1">
        <f t="array" aca="1" ref="G29" ca="1">_FV(A29,"52 week high",TRUE)</f>
        <v>52.61</v>
      </c>
      <c r="H29" s="29" cm="1">
        <f t="array" aca="1" ref="H29" ca="1">_FV(A29,"52 week low",TRUE)</f>
        <v>27.66</v>
      </c>
      <c r="I29" s="30" cm="1">
        <f t="array" aca="1" ref="I29" ca="1">_FV(A29,"Volume")</f>
        <v>11035649</v>
      </c>
      <c r="J29" s="29" t="str" cm="1">
        <f t="array" aca="1" ref="J29" ca="1">_FV(Table13[[#This Row],[Company]],"Headquarters")</f>
        <v>333 N Central Ave, PHOENIX, AZ, 85004 US</v>
      </c>
      <c r="K29" cm="1">
        <f t="array" aca="1" ref="K29" ca="1">_FV(Table13[[#This Row],[Company]],"Year incorporated",TRUE)</f>
        <v>1987</v>
      </c>
      <c r="L29" s="29"/>
      <c r="M29" s="64" t="b">
        <v>0</v>
      </c>
    </row>
    <row r="30" spans="1:13" x14ac:dyDescent="0.2">
      <c r="A30" t="e" vm="23">
        <v>#VALUE!</v>
      </c>
      <c r="B30" s="29" t="str" cm="1">
        <f t="array" aca="1" ref="B30" ca="1">_FV(A30,"Ticker symbol",TRUE)</f>
        <v>NUE</v>
      </c>
      <c r="C30" s="29" t="str" cm="1">
        <f t="array" aca="1" ref="C30" ca="1">_FV(A30,"Industry")</f>
        <v>Metals &amp; Mining</v>
      </c>
      <c r="D30" s="29" cm="1">
        <f t="array" aca="1" ref="D30" ca="1">_FV(A30,"Market cap",TRUE)</f>
        <v>33186536910</v>
      </c>
      <c r="E30" s="29" cm="1">
        <f t="array" aca="1" ref="E30" ca="1">_FV(A30,"Price")</f>
        <v>143.82</v>
      </c>
      <c r="F30" s="13" cm="1">
        <f t="array" aca="1" ref="F30" ca="1">_FV(A30,"Change (%)",TRUE)</f>
        <v>6.0860000000000003E-3</v>
      </c>
      <c r="G30" s="29" cm="1">
        <f t="array" aca="1" ref="G30" ca="1">_FV(A30,"52 week high",TRUE)</f>
        <v>170.52</v>
      </c>
      <c r="H30" s="29" cm="1">
        <f t="array" aca="1" ref="H30" ca="1">_FV(A30,"52 week low",TRUE)</f>
        <v>97.59</v>
      </c>
      <c r="I30" s="30" cm="1">
        <f t="array" aca="1" ref="I30" ca="1">_FV(A30,"Volume")</f>
        <v>469823</v>
      </c>
      <c r="J30" s="29" t="str" cm="1">
        <f t="array" aca="1" ref="J30" ca="1">_FV(Table13[[#This Row],[Company]],"Headquarters")</f>
        <v>1915 REXFORD RD, CHARLOTTE, NC, 28211 US</v>
      </c>
      <c r="K30" cm="1">
        <f t="array" aca="1" ref="K30" ca="1">_FV(Table13[[#This Row],[Company]],"Year incorporated",TRUE)</f>
        <v>1958</v>
      </c>
      <c r="L30" s="29"/>
      <c r="M30" s="64" t="b">
        <v>0</v>
      </c>
    </row>
    <row r="31" spans="1:13" x14ac:dyDescent="0.2">
      <c r="A31" t="e" vm="24">
        <v>#VALUE!</v>
      </c>
      <c r="B31" s="29" t="str" cm="1">
        <f t="array" aca="1" ref="B31" ca="1">_FV(A31,"Ticker symbol",TRUE)</f>
        <v>CIVI</v>
      </c>
      <c r="C31" s="29" t="str" cm="1">
        <f t="array" aca="1" ref="C31" ca="1">_FV(A31,"Industry")</f>
        <v>Oil &amp; Gas</v>
      </c>
      <c r="D31" s="29" cm="1">
        <f t="array" aca="1" ref="D31" ca="1">_FV(A31,"Market cap",TRUE)</f>
        <v>2836647829</v>
      </c>
      <c r="E31" s="29" cm="1">
        <f t="array" aca="1" ref="E31" ca="1">_FV(A31,"Price")</f>
        <v>30.64</v>
      </c>
      <c r="F31" s="13" cm="1">
        <f t="array" aca="1" ref="F31" ca="1">_FV(A31,"Change (%)",TRUE)</f>
        <v>-2.2648000000000001E-2</v>
      </c>
      <c r="G31" s="29" cm="1">
        <f t="array" aca="1" ref="G31" ca="1">_FV(A31,"52 week high",TRUE)</f>
        <v>71.055000000000007</v>
      </c>
      <c r="H31" s="29" cm="1">
        <f t="array" aca="1" ref="H31" ca="1">_FV(A31,"52 week low",TRUE)</f>
        <v>22.79</v>
      </c>
      <c r="I31" s="30" cm="1">
        <f t="array" aca="1" ref="I31" ca="1">_FV(A31,"Volume")</f>
        <v>362817</v>
      </c>
      <c r="J31" s="29" t="str" cm="1">
        <f t="array" aca="1" ref="J31" ca="1">_FV(Table13[[#This Row],[Company]],"Headquarters")</f>
        <v>555 - 17Th Street, Suite 3700, DENVER, CO, 80202 US</v>
      </c>
      <c r="K31" cm="1">
        <f t="array" aca="1" ref="K31" ca="1">_FV(Table13[[#This Row],[Company]],"Year incorporated",TRUE)</f>
        <v>2010</v>
      </c>
      <c r="L31" s="29"/>
      <c r="M31" s="64" t="b">
        <v>0</v>
      </c>
    </row>
    <row r="32" spans="1:13" x14ac:dyDescent="0.2">
      <c r="A32" t="e" vm="25">
        <v>#VALUE!</v>
      </c>
      <c r="B32" s="29" t="str" cm="1">
        <f t="array" aca="1" ref="B32" ca="1">_FV(A32,"Ticker symbol",TRUE)</f>
        <v>MG</v>
      </c>
      <c r="C32" s="29" t="str" cm="1">
        <f t="array" aca="1" ref="C32" ca="1">_FV(A32,"Industry")</f>
        <v>Oil &amp; Gas</v>
      </c>
      <c r="D32" s="29" cm="1">
        <f t="array" aca="1" ref="D32" ca="1">_FV(A32,"Market cap",TRUE)</f>
        <v>246822509</v>
      </c>
      <c r="E32" s="29" cm="1">
        <f t="array" aca="1" ref="E32" ca="1">_FV(A32,"Price")</f>
        <v>7.8781999999999996</v>
      </c>
      <c r="F32" s="13" cm="1">
        <f t="array" aca="1" ref="F32" ca="1">_FV(A32,"Change (%)",TRUE)</f>
        <v>-7.783E-3</v>
      </c>
      <c r="G32" s="29" cm="1">
        <f t="array" aca="1" ref="G32" ca="1">_FV(A32,"52 week high",TRUE)</f>
        <v>12.435</v>
      </c>
      <c r="H32" s="29" cm="1">
        <f t="array" aca="1" ref="H32" ca="1">_FV(A32,"52 week low",TRUE)</f>
        <v>7.06</v>
      </c>
      <c r="I32" s="30" cm="1">
        <f t="array" aca="1" ref="I32" ca="1">_FV(A32,"Volume")</f>
        <v>12728</v>
      </c>
      <c r="J32" s="29" t="str" cm="1">
        <f t="array" aca="1" ref="J32" ca="1">_FV(Table13[[#This Row],[Company]],"Headquarters")</f>
        <v>195 Clarksville Rd, PRINCETON JUNCTION, NJ, 08550-5392 US</v>
      </c>
      <c r="K32" cm="1">
        <f t="array" aca="1" ref="K32" ca="1">_FV(Table13[[#This Row],[Company]],"Year incorporated",TRUE)</f>
        <v>1994</v>
      </c>
      <c r="L32" s="29"/>
      <c r="M32" s="64" t="b">
        <v>0</v>
      </c>
    </row>
    <row r="33" spans="1:13" x14ac:dyDescent="0.2">
      <c r="A33" t="e" vm="26">
        <v>#VALUE!</v>
      </c>
      <c r="B33" s="29" t="str" cm="1">
        <f t="array" aca="1" ref="B33" ca="1">_FV(A33,"Ticker symbol",TRUE)</f>
        <v>SM</v>
      </c>
      <c r="C33" s="29" t="str" cm="1">
        <f t="array" aca="1" ref="C33" ca="1">_FV(A33,"Industry")</f>
        <v>Oil &amp; Gas</v>
      </c>
      <c r="D33" s="29" cm="1">
        <f t="array" aca="1" ref="D33" ca="1">_FV(A33,"Market cap",TRUE)</f>
        <v>3107648730</v>
      </c>
      <c r="E33" s="29" cm="1">
        <f t="array" aca="1" ref="E33" ca="1">_FV(A33,"Price")</f>
        <v>27.15</v>
      </c>
      <c r="F33" s="13" cm="1">
        <f t="array" aca="1" ref="F33" ca="1">_FV(A33,"Change (%)",TRUE)</f>
        <v>-2.0209000000000001E-2</v>
      </c>
      <c r="G33" s="29" cm="1">
        <f t="array" aca="1" ref="G33" ca="1">_FV(A33,"52 week high",TRUE)</f>
        <v>47.69</v>
      </c>
      <c r="H33" s="29" cm="1">
        <f t="array" aca="1" ref="H33" ca="1">_FV(A33,"52 week low",TRUE)</f>
        <v>19.670000000000002</v>
      </c>
      <c r="I33" s="30" cm="1">
        <f t="array" aca="1" ref="I33" ca="1">_FV(A33,"Volume")</f>
        <v>541670</v>
      </c>
      <c r="J33" s="29" t="str" cm="1">
        <f t="array" aca="1" ref="J33" ca="1">_FV(Table13[[#This Row],[Company]],"Headquarters")</f>
        <v>1700 LINCOLN STREET, SUITE 3200, DENVER, CO, 80203 US</v>
      </c>
      <c r="K33" cm="1">
        <f t="array" aca="1" ref="K33" ca="1">_FV(Table13[[#This Row],[Company]],"Year incorporated",TRUE)</f>
        <v>1915</v>
      </c>
      <c r="L33" s="29"/>
      <c r="M33" s="64" t="b">
        <v>1</v>
      </c>
    </row>
    <row r="34" spans="1:13" x14ac:dyDescent="0.2">
      <c r="A34" t="e" vm="27">
        <v>#VALUE!</v>
      </c>
      <c r="B34" s="29" t="str" cm="1">
        <f t="array" aca="1" ref="B34" ca="1">_FV(A34,"Ticker symbol",TRUE)</f>
        <v>COP</v>
      </c>
      <c r="C34" s="29" t="str" cm="1">
        <f t="array" aca="1" ref="C34" ca="1">_FV(A34,"Industry")</f>
        <v>Oil &amp; Gas</v>
      </c>
      <c r="D34" s="29" cm="1">
        <f t="array" aca="1" ref="D34" ca="1">_FV(A34,"Market cap",TRUE)</f>
        <v>120635899600</v>
      </c>
      <c r="E34" s="29" cm="1">
        <f t="array" aca="1" ref="E34" ca="1">_FV(A34,"Price")</f>
        <v>95.56</v>
      </c>
      <c r="F34" s="13" cm="1">
        <f t="array" aca="1" ref="F34" ca="1">_FV(A34,"Change (%)",TRUE)</f>
        <v>-1.1482000000000001E-2</v>
      </c>
      <c r="G34" s="29" cm="1">
        <f t="array" aca="1" ref="G34" ca="1">_FV(A34,"52 week high",TRUE)</f>
        <v>116.08</v>
      </c>
      <c r="H34" s="29" cm="1">
        <f t="array" aca="1" ref="H34" ca="1">_FV(A34,"52 week low",TRUE)</f>
        <v>79.88</v>
      </c>
      <c r="I34" s="30" cm="1">
        <f t="array" aca="1" ref="I34" ca="1">_FV(A34,"Volume")</f>
        <v>1259301</v>
      </c>
      <c r="J34" s="29" t="str" cm="1">
        <f t="array" aca="1" ref="J34" ca="1">_FV(Table13[[#This Row],[Company]],"Headquarters")</f>
        <v>925 N. Eldridge Parkway, HOUSTON, TX, 77079-2703 US</v>
      </c>
      <c r="K34" cm="1">
        <f t="array" aca="1" ref="K34" ca="1">_FV(Table13[[#This Row],[Company]],"Year incorporated",TRUE)</f>
        <v>2001</v>
      </c>
      <c r="L34" s="29"/>
      <c r="M34" s="64" t="b">
        <v>0</v>
      </c>
    </row>
    <row r="35" spans="1:13" x14ac:dyDescent="0.2">
      <c r="A35" t="e" vm="28">
        <v>#VALUE!</v>
      </c>
      <c r="B35" s="29" t="str" cm="1">
        <f t="array" aca="1" ref="B35" ca="1">_FV(A35,"Ticker symbol",TRUE)</f>
        <v>APA</v>
      </c>
      <c r="C35" s="29" t="str" cm="1">
        <f t="array" aca="1" ref="C35" ca="1">_FV(A35,"Industry")</f>
        <v>Oil &amp; Gas</v>
      </c>
      <c r="D35" s="29" cm="1">
        <f t="array" aca="1" ref="D35" ca="1">_FV(A35,"Market cap",TRUE)</f>
        <v>6922704989</v>
      </c>
      <c r="E35" s="29" cm="1">
        <f t="array" aca="1" ref="E35" ca="1">_FV(A35,"Price")</f>
        <v>19.184699999999999</v>
      </c>
      <c r="F35" s="13" cm="1">
        <f t="array" aca="1" ref="F35" ca="1">_FV(A35,"Change (%)",TRUE)</f>
        <v>-1.5159000000000001E-2</v>
      </c>
      <c r="G35" s="29" cm="1">
        <f t="array" aca="1" ref="G35" ca="1">_FV(A35,"52 week high",TRUE)</f>
        <v>33.409999999999997</v>
      </c>
      <c r="H35" s="29" cm="1">
        <f t="array" aca="1" ref="H35" ca="1">_FV(A35,"52 week low",TRUE)</f>
        <v>13.584</v>
      </c>
      <c r="I35" s="30" cm="1">
        <f t="array" aca="1" ref="I35" ca="1">_FV(A35,"Volume")</f>
        <v>2317664</v>
      </c>
      <c r="J35" s="29" t="str" cm="1">
        <f t="array" aca="1" ref="J35" ca="1">_FV(Table13[[#This Row],[Company]],"Headquarters")</f>
        <v>2000 W Sam Houston Pkwy S, Suite 200, HOUSTON, TX, 77042 US</v>
      </c>
      <c r="K35" s="63" cm="1">
        <f t="array" aca="1" ref="K35" ca="1">_FV(Table13[[#This Row],[Company]],"Year incorporated",TRUE)</f>
        <v>2021</v>
      </c>
      <c r="L35" s="29"/>
      <c r="M35" s="64" t="b">
        <v>0</v>
      </c>
    </row>
    <row r="36" spans="1:13" x14ac:dyDescent="0.2">
      <c r="A36" t="e" vm="29">
        <v>#VALUE!</v>
      </c>
      <c r="B36" s="29" t="str" cm="1">
        <f t="array" aca="1" ref="B36" ca="1">_FV(A36,"Ticker symbol",TRUE)</f>
        <v>DINO</v>
      </c>
      <c r="C36" s="29" t="str" cm="1">
        <f t="array" aca="1" ref="C36" ca="1">_FV(A36,"Industry")</f>
        <v>Oil &amp; Gas</v>
      </c>
      <c r="D36" s="29" cm="1">
        <f t="array" aca="1" ref="D36" ca="1">_FV(A36,"Market cap",TRUE)</f>
        <v>8237276456</v>
      </c>
      <c r="E36" s="29" cm="1">
        <f t="array" aca="1" ref="E36" ca="1">_FV(A36,"Price")</f>
        <v>43.72</v>
      </c>
      <c r="F36" s="13" cm="1">
        <f t="array" aca="1" ref="F36" ca="1">_FV(A36,"Change (%)",TRUE)</f>
        <v>6.6769999999999998E-3</v>
      </c>
      <c r="G36" s="29" cm="1">
        <f t="array" aca="1" ref="G36" ca="1">_FV(A36,"52 week high",TRUE)</f>
        <v>52.88</v>
      </c>
      <c r="H36" s="29" cm="1">
        <f t="array" aca="1" ref="H36" ca="1">_FV(A36,"52 week low",TRUE)</f>
        <v>24.66</v>
      </c>
      <c r="I36" s="30" cm="1">
        <f t="array" aca="1" ref="I36" ca="1">_FV(A36,"Volume")</f>
        <v>1132820</v>
      </c>
      <c r="J36" s="29" t="str" cm="1">
        <f t="array" aca="1" ref="J36" ca="1">_FV(Table13[[#This Row],[Company]],"Headquarters")</f>
        <v>2323 Victory Avenue, Suite 1400, DALLAS, TX, 75219 US</v>
      </c>
      <c r="K36" cm="1">
        <f t="array" aca="1" ref="K36" ca="1">_FV(Table13[[#This Row],[Company]],"Year incorporated",TRUE)</f>
        <v>2021</v>
      </c>
      <c r="L36" s="29" t="s">
        <v>390</v>
      </c>
      <c r="M36" s="64" t="b">
        <v>1</v>
      </c>
    </row>
    <row r="37" spans="1:13" x14ac:dyDescent="0.2">
      <c r="A37" t="e" vm="30">
        <v>#VALUE!</v>
      </c>
      <c r="B37" s="29" t="str" cm="1">
        <f t="array" aca="1" ref="B37" ca="1">_FV(A37,"Ticker symbol",TRUE)</f>
        <v>OXY</v>
      </c>
      <c r="C37" s="29" t="str" cm="1">
        <f t="array" aca="1" ref="C37" ca="1">_FV(A37,"Industry")</f>
        <v>Oil &amp; Gas</v>
      </c>
      <c r="D37" s="29" cm="1">
        <f t="array" aca="1" ref="D37" ca="1">_FV(A37,"Market cap",TRUE)</f>
        <v>43390410743</v>
      </c>
      <c r="E37" s="29" cm="1">
        <f t="array" aca="1" ref="E37" ca="1">_FV(A37,"Price")</f>
        <v>44.09</v>
      </c>
      <c r="F37" s="13" cm="1">
        <f t="array" aca="1" ref="F37" ca="1">_FV(A37,"Change (%)",TRUE)</f>
        <v>-7.2060000000000006E-3</v>
      </c>
      <c r="G37" s="29" cm="1">
        <f t="array" aca="1" ref="G37" ca="1">_FV(A37,"52 week high",TRUE)</f>
        <v>61.35</v>
      </c>
      <c r="H37" s="29" cm="1">
        <f t="array" aca="1" ref="H37" ca="1">_FV(A37,"52 week low",TRUE)</f>
        <v>34.784999999999997</v>
      </c>
      <c r="I37" s="30" cm="1">
        <f t="array" aca="1" ref="I37" ca="1">_FV(A37,"Volume")</f>
        <v>2154138</v>
      </c>
      <c r="J37" s="29" t="str" cm="1">
        <f t="array" aca="1" ref="J37" ca="1">_FV(Table13[[#This Row],[Company]],"Headquarters")</f>
        <v>5 GREENWAY PLAZA, SUITE 110, HOUSTON, TX, 77046 US</v>
      </c>
      <c r="K37" cm="1">
        <f t="array" aca="1" ref="K37" ca="1">_FV(Table13[[#This Row],[Company]],"Year incorporated",TRUE)</f>
        <v>1986</v>
      </c>
      <c r="L37" s="29"/>
      <c r="M37" s="64" t="b">
        <v>0</v>
      </c>
    </row>
    <row r="38" spans="1:13" x14ac:dyDescent="0.2">
      <c r="A38" t="e" vm="31">
        <v>#VALUE!</v>
      </c>
      <c r="B38" s="29" t="str" cm="1">
        <f t="array" aca="1" ref="B38" ca="1">_FV(A38,"Ticker symbol",TRUE)</f>
        <v>NGS</v>
      </c>
      <c r="C38" s="29" t="str" cm="1">
        <f t="array" aca="1" ref="C38" ca="1">_FV(A38,"Industry")</f>
        <v>Oil &amp; Gas Related Equipment and Services</v>
      </c>
      <c r="D38" s="29" cm="1">
        <f t="array" aca="1" ref="D38" ca="1">_FV(A38,"Market cap",TRUE)</f>
        <v>302471257</v>
      </c>
      <c r="E38" s="29" cm="1">
        <f t="array" aca="1" ref="E38" ca="1">_FV(A38,"Price")</f>
        <v>24.139900000000001</v>
      </c>
      <c r="F38" s="13" cm="1">
        <f t="array" aca="1" ref="F38" ca="1">_FV(A38,"Change (%)",TRUE)</f>
        <v>-1.658E-3</v>
      </c>
      <c r="G38" s="29" cm="1">
        <f t="array" aca="1" ref="G38" ca="1">_FV(A38,"52 week high",TRUE)</f>
        <v>29.74</v>
      </c>
      <c r="H38" s="29" cm="1">
        <f t="array" aca="1" ref="H38" ca="1">_FV(A38,"52 week low",TRUE)</f>
        <v>16.7</v>
      </c>
      <c r="I38" s="30" cm="1">
        <f t="array" aca="1" ref="I38" ca="1">_FV(A38,"Volume")</f>
        <v>9713</v>
      </c>
      <c r="J38" s="29" t="str" cm="1">
        <f t="array" aca="1" ref="J38" ca="1">_FV(Table13[[#This Row],[Company]],"Headquarters")</f>
        <v>404 Veterans Airpark Lane, Suite 300, MIDLAND, TX, 79705 US</v>
      </c>
      <c r="K38" cm="1">
        <f t="array" aca="1" ref="K38" ca="1">_FV(Table13[[#This Row],[Company]],"Year incorporated",TRUE)</f>
        <v>1998</v>
      </c>
      <c r="L38" s="29"/>
      <c r="M38" s="64" t="b">
        <v>0</v>
      </c>
    </row>
    <row r="39" spans="1:13" x14ac:dyDescent="0.2">
      <c r="A39" t="e" vm="32">
        <v>#VALUE!</v>
      </c>
      <c r="B39" s="29" t="str" cm="1">
        <f t="array" aca="1" ref="B39" ca="1">_FV(A39,"Ticker symbol",TRUE)</f>
        <v>PYPL</v>
      </c>
      <c r="C39" s="29" t="str" cm="1">
        <f t="array" aca="1" ref="C39" ca="1">_FV(A39,"Industry")</f>
        <v>Professional &amp; Commercial Services</v>
      </c>
      <c r="D39" s="29" cm="1">
        <f t="array" aca="1" ref="D39" ca="1">_FV(A39,"Market cap",TRUE)</f>
        <v>66236384472</v>
      </c>
      <c r="E39" s="29" cm="1">
        <f t="array" aca="1" ref="E39" ca="1">_FV(A39,"Price")</f>
        <v>69.33</v>
      </c>
      <c r="F39" s="13" cm="1">
        <f t="array" aca="1" ref="F39" ca="1">_FV(A39,"Change (%)",TRUE)</f>
        <v>-5.4510000000000001E-3</v>
      </c>
      <c r="G39" s="29" cm="1">
        <f t="array" aca="1" ref="G39" ca="1">_FV(A39,"52 week high",TRUE)</f>
        <v>93.66</v>
      </c>
      <c r="H39" s="29" cm="1">
        <f t="array" aca="1" ref="H39" ca="1">_FV(A39,"52 week low",TRUE)</f>
        <v>55.85</v>
      </c>
      <c r="I39" s="30" cm="1">
        <f t="array" aca="1" ref="I39" ca="1">_FV(A39,"Volume")</f>
        <v>6443999</v>
      </c>
      <c r="J39" s="29" t="str" cm="1">
        <f t="array" aca="1" ref="J39" ca="1">_FV(Table13[[#This Row],[Company]],"Headquarters")</f>
        <v>2211 N 1st St, SAN JOSE, CA, 95131 US</v>
      </c>
      <c r="K39" cm="1">
        <f t="array" aca="1" ref="K39" ca="1">_FV(Table13[[#This Row],[Company]],"Year incorporated",TRUE)</f>
        <v>2015</v>
      </c>
      <c r="L39" s="29"/>
      <c r="M39" s="64" t="b">
        <v>0</v>
      </c>
    </row>
    <row r="40" spans="1:13" x14ac:dyDescent="0.2">
      <c r="A40" t="e" vm="33">
        <v>#VALUE!</v>
      </c>
      <c r="B40" s="29" t="str" cm="1">
        <f t="array" aca="1" ref="B40" ca="1">_FV(A40,"Ticker symbol",TRUE)</f>
        <v>NXT</v>
      </c>
      <c r="C40" s="29" t="str" cm="1">
        <f t="array" aca="1" ref="C40" ca="1">_FV(A40,"Industry")</f>
        <v>Renewable Energy</v>
      </c>
      <c r="D40" s="29" cm="1">
        <f t="array" aca="1" ref="D40" ca="1">_FV(A40,"Market cap",TRUE)</f>
        <v>8538834080</v>
      </c>
      <c r="E40" s="29" cm="1">
        <f t="array" aca="1" ref="E40" ca="1">_FV(A40,"Price")</f>
        <v>57.76</v>
      </c>
      <c r="F40" s="13" cm="1">
        <f t="array" aca="1" ref="F40" ca="1">_FV(A40,"Change (%)",TRUE)</f>
        <v>-1.9021999999999997E-2</v>
      </c>
      <c r="G40" s="29" cm="1">
        <f t="array" aca="1" ref="G40" ca="1">_FV(A40,"52 week high",TRUE)</f>
        <v>67.868899999999996</v>
      </c>
      <c r="H40" s="29" cm="1">
        <f t="array" aca="1" ref="H40" ca="1">_FV(A40,"52 week low",TRUE)</f>
        <v>30.93</v>
      </c>
      <c r="I40" s="30" cm="1">
        <f t="array" aca="1" ref="I40" ca="1">_FV(A40,"Volume")</f>
        <v>1124853</v>
      </c>
      <c r="J40" s="29" t="str" cm="1">
        <f t="array" aca="1" ref="J40" ca="1">_FV(Table13[[#This Row],[Company]],"Headquarters")</f>
        <v>6200 Paseo Padre Pkwy, FREMONT, CA, 94555 US</v>
      </c>
      <c r="K40" cm="1">
        <f t="array" aca="1" ref="K40" ca="1">_FV(Table13[[#This Row],[Company]],"Year incorporated",TRUE)</f>
        <v>2022</v>
      </c>
      <c r="L40" s="29"/>
      <c r="M40" s="64" t="b">
        <v>0</v>
      </c>
    </row>
    <row r="41" spans="1:13" x14ac:dyDescent="0.2">
      <c r="A41" t="e" vm="34">
        <v>#VALUE!</v>
      </c>
      <c r="B41" s="29" t="str" cm="1">
        <f t="array" aca="1" ref="B41" ca="1">_FV(A41,"Ticker symbol",TRUE)</f>
        <v>MU</v>
      </c>
      <c r="C41" s="29" t="str" cm="1">
        <f t="array" aca="1" ref="C41" ca="1">_FV(A41,"Industry")</f>
        <v>Semiconductors &amp; Semiconductor Equipment</v>
      </c>
      <c r="D41" s="29" cm="1">
        <f t="array" aca="1" ref="D41" ca="1">_FV(A41,"Market cap",TRUE)</f>
        <v>122443466250</v>
      </c>
      <c r="E41" s="29" cm="1">
        <f t="array" aca="1" ref="E41" ca="1">_FV(A41,"Price")</f>
        <v>109.41</v>
      </c>
      <c r="F41" s="13" cm="1">
        <f t="array" aca="1" ref="F41" ca="1">_FV(A41,"Change (%)",TRUE)</f>
        <v>-4.6452999999999994E-2</v>
      </c>
      <c r="G41" s="29" cm="1">
        <f t="array" aca="1" ref="G41" ca="1">_FV(A41,"52 week high",TRUE)</f>
        <v>129.85</v>
      </c>
      <c r="H41" s="29" cm="1">
        <f t="array" aca="1" ref="H41" ca="1">_FV(A41,"52 week low",TRUE)</f>
        <v>61.54</v>
      </c>
      <c r="I41" s="30" cm="1">
        <f t="array" aca="1" ref="I41" ca="1">_FV(A41,"Volume")</f>
        <v>13309951</v>
      </c>
      <c r="J41" s="29" t="str" cm="1">
        <f t="array" aca="1" ref="J41" ca="1">_FV(Table13[[#This Row],[Company]],"Headquarters")</f>
        <v>8000 S Federal Way, Po Box 6, BOISE, ID, 83716-9632 US</v>
      </c>
      <c r="K41" cm="1">
        <f t="array" aca="1" ref="K41" ca="1">_FV(Table13[[#This Row],[Company]],"Year incorporated",TRUE)</f>
        <v>1984</v>
      </c>
      <c r="L41" s="29"/>
      <c r="M41" s="64" t="b">
        <v>0</v>
      </c>
    </row>
    <row r="42" spans="1:13" x14ac:dyDescent="0.2">
      <c r="A42" t="e" vm="35">
        <v>#VALUE!</v>
      </c>
      <c r="B42" s="29" t="str" cm="1">
        <f t="array" aca="1" ref="B42" ca="1">_FV(A42,"Ticker symbol",TRUE)</f>
        <v>QCOM</v>
      </c>
      <c r="C42" s="29" t="str" cm="1">
        <f t="array" aca="1" ref="C42" ca="1">_FV(A42,"Industry")</f>
        <v>Semiconductors &amp; Semiconductor Equipment</v>
      </c>
      <c r="D42" s="29" cm="1">
        <f t="array" aca="1" ref="D42" ca="1">_FV(A42,"Market cap",TRUE)</f>
        <v>161767409550</v>
      </c>
      <c r="E42" s="29" cm="1">
        <f t="array" aca="1" ref="E42" ca="1">_FV(A42,"Price")</f>
        <v>149.94999999999999</v>
      </c>
      <c r="F42" s="13" cm="1">
        <f t="array" aca="1" ref="F42" ca="1">_FV(A42,"Change (%)",TRUE)</f>
        <v>-5.7274000000000005E-2</v>
      </c>
      <c r="G42" s="29" cm="1">
        <f t="array" aca="1" ref="G42" ca="1">_FV(A42,"52 week high",TRUE)</f>
        <v>182.1</v>
      </c>
      <c r="H42" s="29" cm="1">
        <f t="array" aca="1" ref="H42" ca="1">_FV(A42,"52 week low",TRUE)</f>
        <v>120.8019</v>
      </c>
      <c r="I42" s="30" cm="1">
        <f t="array" aca="1" ref="I42" ca="1">_FV(A42,"Volume")</f>
        <v>9438801</v>
      </c>
      <c r="J42" s="29" t="str" cm="1">
        <f t="array" aca="1" ref="J42" ca="1">_FV(Table13[[#This Row],[Company]],"Headquarters")</f>
        <v>5775 Morehouse Drive, SAN DIEGO, CA, 92121 US</v>
      </c>
      <c r="K42" cm="1">
        <f t="array" aca="1" ref="K42" ca="1">_FV(Table13[[#This Row],[Company]],"Year incorporated",TRUE)</f>
        <v>1991</v>
      </c>
      <c r="L42" s="29"/>
      <c r="M42" s="64" t="b">
        <v>0</v>
      </c>
    </row>
    <row r="43" spans="1:13" x14ac:dyDescent="0.2">
      <c r="A43" t="e" vm="36">
        <v>#VALUE!</v>
      </c>
      <c r="B43" s="29" t="str" cm="1">
        <f t="array" aca="1" ref="B43" ca="1">_FV(A43,"Ticker symbol",TRUE)</f>
        <v>ACLS</v>
      </c>
      <c r="C43" s="29" t="str" cm="1">
        <f t="array" aca="1" ref="C43" ca="1">_FV(A43,"Industry")</f>
        <v>Semiconductors &amp; Semiconductor Equipment</v>
      </c>
      <c r="D43" s="29" cm="1">
        <f t="array" aca="1" ref="D43" ca="1">_FV(A43,"Market cap",TRUE)</f>
        <v>2206978102</v>
      </c>
      <c r="E43" s="29" cm="1">
        <f t="array" aca="1" ref="E43" ca="1">_FV(A43,"Price")</f>
        <v>68.69</v>
      </c>
      <c r="F43" s="13" cm="1">
        <f t="array" aca="1" ref="F43" ca="1">_FV(A43,"Change (%)",TRUE)</f>
        <v>-5.7621000000000006E-2</v>
      </c>
      <c r="G43" s="29" cm="1">
        <f t="array" aca="1" ref="G43" ca="1">_FV(A43,"52 week high",TRUE)</f>
        <v>127.88</v>
      </c>
      <c r="H43" s="29" cm="1">
        <f t="array" aca="1" ref="H43" ca="1">_FV(A43,"52 week low",TRUE)</f>
        <v>40.4</v>
      </c>
      <c r="I43" s="30" cm="1">
        <f t="array" aca="1" ref="I43" ca="1">_FV(A43,"Volume")</f>
        <v>290605</v>
      </c>
      <c r="J43" s="29" t="str" cm="1">
        <f t="array" aca="1" ref="J43" ca="1">_FV(Table13[[#This Row],[Company]],"Headquarters")</f>
        <v>108 Cherry Hill Dr, BEVERLY, MA, 01915 US</v>
      </c>
      <c r="K43" cm="1">
        <f t="array" aca="1" ref="K43" ca="1">_FV(Table13[[#This Row],[Company]],"Year incorporated",TRUE)</f>
        <v>1995</v>
      </c>
      <c r="L43" s="29"/>
      <c r="M43" s="64" t="b">
        <v>0</v>
      </c>
    </row>
    <row r="44" spans="1:13" x14ac:dyDescent="0.2">
      <c r="A44" t="e" vm="37">
        <v>#VALUE!</v>
      </c>
      <c r="B44" s="29" t="str" cm="1">
        <f t="array" aca="1" ref="B44" ca="1">_FV(A44,"Ticker symbol",TRUE)</f>
        <v>TER</v>
      </c>
      <c r="C44" s="29" t="str" cm="1">
        <f t="array" aca="1" ref="C44" ca="1">_FV(A44,"Industry")</f>
        <v>Semiconductors &amp; Semiconductor Equipment</v>
      </c>
      <c r="D44" s="29" cm="1">
        <f t="array" aca="1" ref="D44" ca="1">_FV(A44,"Market cap",TRUE)</f>
        <v>17437686610</v>
      </c>
      <c r="E44" s="29" cm="1">
        <f t="array" aca="1" ref="E44" ca="1">_FV(A44,"Price")</f>
        <v>108.7</v>
      </c>
      <c r="F44" s="13" cm="1">
        <f t="array" aca="1" ref="F44" ca="1">_FV(A44,"Change (%)",TRUE)</f>
        <v>9.7540000000000005E-3</v>
      </c>
      <c r="G44" s="29" cm="1">
        <f t="array" aca="1" ref="G44" ca="1">_FV(A44,"52 week high",TRUE)</f>
        <v>144.16</v>
      </c>
      <c r="H44" s="29" cm="1">
        <f t="array" aca="1" ref="H44" ca="1">_FV(A44,"52 week low",TRUE)</f>
        <v>65.77</v>
      </c>
      <c r="I44" s="30" cm="1">
        <f t="array" aca="1" ref="I44" ca="1">_FV(A44,"Volume")</f>
        <v>3479075</v>
      </c>
      <c r="J44" s="29" t="str" cm="1">
        <f t="array" aca="1" ref="J44" ca="1">_FV(Table13[[#This Row],[Company]],"Headquarters")</f>
        <v>600 Riverpark Dr, NORTH READING, MA, 01864-2634 US</v>
      </c>
      <c r="K44" cm="1">
        <f t="array" aca="1" ref="K44" ca="1">_FV(Table13[[#This Row],[Company]],"Year incorporated",TRUE)</f>
        <v>1960</v>
      </c>
      <c r="L44" s="29"/>
      <c r="M44" s="64" t="b">
        <v>0</v>
      </c>
    </row>
    <row r="45" spans="1:13" x14ac:dyDescent="0.2">
      <c r="A45" t="e" vm="38">
        <v>#VALUE!</v>
      </c>
      <c r="B45" s="29" t="str" cm="1">
        <f t="array" aca="1" ref="B45" ca="1">_FV(A45,"Ticker symbol",TRUE)</f>
        <v>ADBE</v>
      </c>
      <c r="C45" s="29" t="str" cm="1">
        <f t="array" aca="1" ref="C45" ca="1">_FV(A45,"Industry")</f>
        <v>Software &amp; IT Services</v>
      </c>
      <c r="D45" s="29" cm="1">
        <f t="array" aca="1" ref="D45" ca="1">_FV(A45,"Market cap",TRUE)</f>
        <v>152928384420</v>
      </c>
      <c r="E45" s="29" cm="1">
        <f t="array" aca="1" ref="E45" ca="1">_FV(A45,"Price")</f>
        <v>360.51010000000002</v>
      </c>
      <c r="F45" s="13" cm="1">
        <f t="array" aca="1" ref="F45" ca="1">_FV(A45,"Change (%)",TRUE)</f>
        <v>-9.5879999999999993E-3</v>
      </c>
      <c r="G45" s="29" cm="1">
        <f t="array" aca="1" ref="G45" ca="1">_FV(A45,"52 week high",TRUE)</f>
        <v>587.75</v>
      </c>
      <c r="H45" s="29" cm="1">
        <f t="array" aca="1" ref="H45" ca="1">_FV(A45,"52 week low",TRUE)</f>
        <v>332.01</v>
      </c>
      <c r="I45" s="30" cm="1">
        <f t="array" aca="1" ref="I45" ca="1">_FV(A45,"Volume")</f>
        <v>1688054</v>
      </c>
      <c r="J45" s="29" t="str" cm="1">
        <f t="array" aca="1" ref="J45" ca="1">_FV(Table13[[#This Row],[Company]],"Headquarters")</f>
        <v>345 Park Avenue, SAN JOSE, CA, 95110-2704 US</v>
      </c>
      <c r="K45" cm="1">
        <f t="array" aca="1" ref="K45" ca="1">_FV(Table13[[#This Row],[Company]],"Year incorporated",TRUE)</f>
        <v>1997</v>
      </c>
      <c r="L45" s="29"/>
      <c r="M45" s="64" t="b">
        <v>0</v>
      </c>
    </row>
    <row r="46" spans="1:13" x14ac:dyDescent="0.2">
      <c r="A46" t="e" vm="39">
        <v>#VALUE!</v>
      </c>
      <c r="B46" s="29" t="str" cm="1">
        <f t="array" aca="1" ref="B46" ca="1">_FV(A46,"Ticker symbol",TRUE)</f>
        <v>GOOGL</v>
      </c>
      <c r="C46" s="29" t="str" cm="1">
        <f t="array" aca="1" ref="C46" ca="1">_FV(A46,"Industry")</f>
        <v>Software &amp; IT Services</v>
      </c>
      <c r="D46" s="29" cm="1">
        <f t="array" aca="1" ref="D46" ca="1">_FV(A46,"Market cap",TRUE)</f>
        <v>2381775000000</v>
      </c>
      <c r="E46" s="29" cm="1">
        <f t="array" aca="1" ref="E46" ca="1">_FV(A46,"Price")</f>
        <v>192.9</v>
      </c>
      <c r="F46" s="13" cm="1">
        <f t="array" aca="1" ref="F46" ca="1">_FV(A46,"Change (%)",TRUE)</f>
        <v>-1.847E-2</v>
      </c>
      <c r="G46" s="29" cm="1">
        <f t="array" aca="1" ref="G46" ca="1">_FV(A46,"52 week high",TRUE)</f>
        <v>207.05</v>
      </c>
      <c r="H46" s="29" cm="1">
        <f t="array" aca="1" ref="H46" ca="1">_FV(A46,"52 week low",TRUE)</f>
        <v>140.53</v>
      </c>
      <c r="I46" s="30" cm="1">
        <f t="array" aca="1" ref="I46" ca="1">_FV(A46,"Volume")</f>
        <v>24167790</v>
      </c>
      <c r="J46" s="29" t="str" cm="1">
        <f t="array" aca="1" ref="J46" ca="1">_FV(Table13[[#This Row],[Company]],"Headquarters")</f>
        <v>1600 Amphitheatre Parkway, MOUNTAIN VIEW, CA, 94043 US</v>
      </c>
      <c r="K46" cm="1">
        <f t="array" aca="1" ref="K46" ca="1">_FV(Table13[[#This Row],[Company]],"Year incorporated",TRUE)</f>
        <v>2015</v>
      </c>
      <c r="L46" s="29"/>
      <c r="M46" s="64" t="b">
        <v>0</v>
      </c>
    </row>
    <row r="47" spans="1:13" x14ac:dyDescent="0.2">
      <c r="A47" t="e" vm="40">
        <v>#VALUE!</v>
      </c>
      <c r="B47" s="29" t="str" cm="1">
        <f t="array" aca="1" ref="B47" ca="1">_FV(A47,"Ticker symbol",TRUE)</f>
        <v>ALAR</v>
      </c>
      <c r="C47" s="29" t="str" cm="1">
        <f t="array" aca="1" ref="C47" ca="1">_FV(A47,"Industry")</f>
        <v>Software &amp; IT Services</v>
      </c>
      <c r="D47" s="29" cm="1">
        <f t="array" aca="1" ref="D47" ca="1">_FV(A47,"Market cap",TRUE)</f>
        <v>287650200</v>
      </c>
      <c r="E47" s="29" cm="1">
        <f t="array" aca="1" ref="E47" ca="1">_FV(A47,"Price")</f>
        <v>418.7</v>
      </c>
      <c r="F47" s="13" cm="1">
        <f t="array" aca="1" ref="F47" ca="1">_FV(A47,"Change (%)",TRUE)</f>
        <v>3.3826999999999996E-2</v>
      </c>
      <c r="G47" s="29" cm="1">
        <f t="array" aca="1" ref="G47" ca="1">_FV(A47,"52 week high",TRUE)</f>
        <v>1730</v>
      </c>
      <c r="H47" s="29" cm="1">
        <f t="array" aca="1" ref="H47" ca="1">_FV(A47,"52 week low",TRUE)</f>
        <v>8</v>
      </c>
      <c r="I47" s="30" cm="1">
        <f t="array" aca="1" ref="I47" ca="1">_FV(A47,"Volume")</f>
        <v>613489</v>
      </c>
      <c r="J47" s="29" t="str" cm="1">
        <f t="array" aca="1" ref="J47" ca="1">_FV(Table13[[#This Row],[Company]],"Headquarters")</f>
        <v>30 Haarba'a, P.O.Box 174, HERZLIYA, 6473926 IL</v>
      </c>
      <c r="K47" cm="1">
        <f t="array" aca="1" ref="K47" ca="1">_FV(Table13[[#This Row],[Company]],"Year incorporated",TRUE)</f>
        <v>1989</v>
      </c>
      <c r="L47" s="29"/>
      <c r="M47" s="64" t="b">
        <v>0</v>
      </c>
    </row>
    <row r="48" spans="1:13" x14ac:dyDescent="0.2">
      <c r="A48" t="e" vm="41">
        <v>#VALUE!</v>
      </c>
      <c r="B48" s="29" t="str" cm="1">
        <f t="array" aca="1" ref="B48" ca="1">_FV(A48,"Ticker symbol",TRUE)</f>
        <v>GCT</v>
      </c>
      <c r="C48" s="29" t="str" cm="1">
        <f t="array" aca="1" ref="C48" ca="1">_FV(A48,"Industry")</f>
        <v>Software &amp; IT Services</v>
      </c>
      <c r="D48" s="29" cm="1">
        <f t="array" aca="1" ref="D48" ca="1">_FV(A48,"Market cap",TRUE)</f>
        <v>853220780</v>
      </c>
      <c r="E48" s="29" cm="1">
        <f t="array" aca="1" ref="E48" ca="1">_FV(A48,"Price")</f>
        <v>22.412800000000001</v>
      </c>
      <c r="F48" s="13" cm="1">
        <f t="array" aca="1" ref="F48" ca="1">_FV(A48,"Change (%)",TRUE)</f>
        <v>-1.0471999999999999E-2</v>
      </c>
      <c r="G48" s="29" cm="1">
        <f t="array" aca="1" ref="G48" ca="1">_FV(A48,"52 week high",TRUE)</f>
        <v>29.94</v>
      </c>
      <c r="H48" s="29" cm="1">
        <f t="array" aca="1" ref="H48" ca="1">_FV(A48,"52 week low",TRUE)</f>
        <v>11.17</v>
      </c>
      <c r="I48" s="30" cm="1">
        <f t="array" aca="1" ref="I48" ca="1">_FV(A48,"Volume")</f>
        <v>140242</v>
      </c>
      <c r="J48" s="29" t="str" cm="1">
        <f t="array" aca="1" ref="J48" ca="1">_FV(Table13[[#This Row],[Company]],"Headquarters")</f>
        <v>4388 Shirley Avenue, EL MONTE, CA, 91731 US</v>
      </c>
      <c r="K48" cm="1">
        <f t="array" aca="1" ref="K48" ca="1">_FV(Table13[[#This Row],[Company]],"Year incorporated",TRUE)</f>
        <v>2006</v>
      </c>
      <c r="L48" s="29"/>
      <c r="M48" s="64" t="b">
        <v>0</v>
      </c>
    </row>
    <row r="49" spans="1:13" x14ac:dyDescent="0.2">
      <c r="A49" t="e" vm="42">
        <v>#VALUE!</v>
      </c>
      <c r="B49" s="29" t="str" cm="1">
        <f t="array" aca="1" ref="B49" ca="1">_FV(A49,"Ticker symbol",TRUE)</f>
        <v>PTC</v>
      </c>
      <c r="C49" s="29" t="str" cm="1">
        <f t="array" aca="1" ref="C49" ca="1">_FV(A49,"Industry")</f>
        <v>Software &amp; IT Services</v>
      </c>
      <c r="D49" s="29" cm="1">
        <f t="array" aca="1" ref="D49" ca="1">_FV(A49,"Market cap",TRUE)</f>
        <v>24290640000</v>
      </c>
      <c r="E49" s="29" cm="1">
        <f t="array" aca="1" ref="E49" ca="1">_FV(A49,"Price")</f>
        <v>219.30500000000001</v>
      </c>
      <c r="F49" s="13" cm="1">
        <f t="array" aca="1" ref="F49" ca="1">_FV(A49,"Change (%)",TRUE)</f>
        <v>8.2934000000000008E-2</v>
      </c>
      <c r="G49" s="29" cm="1">
        <f t="array" aca="1" ref="G49" ca="1">_FV(A49,"52 week high",TRUE)</f>
        <v>219.69</v>
      </c>
      <c r="H49" s="29" cm="1">
        <f t="array" aca="1" ref="H49" ca="1">_FV(A49,"52 week low",TRUE)</f>
        <v>133.38</v>
      </c>
      <c r="I49" s="30" cm="1">
        <f t="array" aca="1" ref="I49" ca="1">_FV(A49,"Volume")</f>
        <v>984795</v>
      </c>
      <c r="J49" s="29" t="str" cm="1">
        <f t="array" aca="1" ref="J49" ca="1">_FV(Table13[[#This Row],[Company]],"Headquarters")</f>
        <v>121 Seaport Blvd., BOSTON, MA, 02210 US</v>
      </c>
      <c r="K49" cm="1">
        <f t="array" aca="1" ref="K49" ca="1">_FV(Table13[[#This Row],[Company]],"Year incorporated",TRUE)</f>
        <v>1985</v>
      </c>
      <c r="L49" s="29"/>
      <c r="M49" s="64" t="b">
        <v>0</v>
      </c>
    </row>
    <row r="50" spans="1:13" x14ac:dyDescent="0.2">
      <c r="A50" t="e" vm="43">
        <v>#VALUE!</v>
      </c>
      <c r="B50" s="29" t="str" cm="1">
        <f t="array" aca="1" ref="B50" ca="1">_FV(A50,"Ticker symbol",TRUE)</f>
        <v>ANF</v>
      </c>
      <c r="C50" s="29" t="str" cm="1">
        <f t="array" aca="1" ref="C50" ca="1">_FV(A50,"Industry")</f>
        <v>Specialty Retailers</v>
      </c>
      <c r="D50" s="29" cm="1">
        <f t="array" aca="1" ref="D50" ca="1">_FV(A50,"Market cap",TRUE)</f>
        <v>4609252993</v>
      </c>
      <c r="E50" s="29" cm="1">
        <f t="array" aca="1" ref="E50" ca="1">_FV(A50,"Price")</f>
        <v>96.745000000000005</v>
      </c>
      <c r="F50" s="13" cm="1">
        <f t="array" aca="1" ref="F50" ca="1">_FV(A50,"Change (%)",TRUE)</f>
        <v>-1.9509000000000002E-2</v>
      </c>
      <c r="G50" s="29" cm="1">
        <f t="array" aca="1" ref="G50" ca="1">_FV(A50,"52 week high",TRUE)</f>
        <v>172.9</v>
      </c>
      <c r="H50" s="29" cm="1">
        <f t="array" aca="1" ref="H50" ca="1">_FV(A50,"52 week low",TRUE)</f>
        <v>65.400000000000006</v>
      </c>
      <c r="I50" s="30" cm="1">
        <f t="array" aca="1" ref="I50" ca="1">_FV(A50,"Volume")</f>
        <v>288446</v>
      </c>
      <c r="J50" s="29" t="str" cm="1">
        <f t="array" aca="1" ref="J50" ca="1">_FV(Table13[[#This Row],[Company]],"Headquarters")</f>
        <v>6301 Fitch Path, NEW ALBANY, OH, 43054 US</v>
      </c>
      <c r="K50" cm="1">
        <f t="array" aca="1" ref="K50" ca="1">_FV(Table13[[#This Row],[Company]],"Year incorporated",TRUE)</f>
        <v>1996</v>
      </c>
      <c r="L50" s="29"/>
      <c r="M50" s="64" t="b">
        <v>0</v>
      </c>
    </row>
    <row r="51" spans="1:13" x14ac:dyDescent="0.2">
      <c r="A51" t="e" vm="44">
        <v>#VALUE!</v>
      </c>
      <c r="B51" s="29" t="str" cm="1">
        <f t="array" aca="1" ref="B51" ca="1">_FV(A51,"Ticker symbol",TRUE)</f>
        <v>CMCSA</v>
      </c>
      <c r="C51" s="29" t="str" cm="1">
        <f t="array" aca="1" ref="C51" ca="1">_FV(A51,"Industry")</f>
        <v>Telecommunications Services</v>
      </c>
      <c r="D51" s="29" cm="1">
        <f t="array" aca="1" ref="D51" ca="1">_FV(A51,"Market cap",TRUE)</f>
        <v>124164326520</v>
      </c>
      <c r="E51" s="29" cm="1">
        <f t="array" aca="1" ref="E51" ca="1">_FV(A51,"Price")</f>
        <v>33.255000000000003</v>
      </c>
      <c r="F51" s="13" cm="1">
        <f t="array" aca="1" ref="F51" ca="1">_FV(A51,"Change (%)",TRUE)</f>
        <v>2.3231000000000002E-2</v>
      </c>
      <c r="G51" s="29" cm="1">
        <f t="array" aca="1" ref="G51" ca="1">_FV(A51,"52 week high",TRUE)</f>
        <v>45.31</v>
      </c>
      <c r="H51" s="29" cm="1">
        <f t="array" aca="1" ref="H51" ca="1">_FV(A51,"52 week low",TRUE)</f>
        <v>31.44</v>
      </c>
      <c r="I51" s="30" cm="1">
        <f t="array" aca="1" ref="I51" ca="1">_FV(A51,"Volume")</f>
        <v>17246559</v>
      </c>
      <c r="J51" s="29" t="str" cm="1">
        <f t="array" aca="1" ref="J51" ca="1">_FV(Table13[[#This Row],[Company]],"Headquarters")</f>
        <v>One Comcast Center, PHILADELPHIA, PA, 19103-2838 US</v>
      </c>
      <c r="K51" cm="1">
        <f t="array" aca="1" ref="K51" ca="1">_FV(Table13[[#This Row],[Company]],"Year incorporated",TRUE)</f>
        <v>2001</v>
      </c>
      <c r="L51" s="29"/>
      <c r="M51" s="64" t="b">
        <v>0</v>
      </c>
    </row>
    <row r="52" spans="1:13" x14ac:dyDescent="0.2">
      <c r="A52" t="e" vm="45">
        <v>#VALUE!</v>
      </c>
      <c r="B52" s="29" t="str" cm="1">
        <f t="array" aca="1" ref="B52" ca="1">_FV(A52,"Ticker symbol",TRUE)</f>
        <v>NKE</v>
      </c>
      <c r="C52" s="29" t="str" cm="1">
        <f t="array" aca="1" ref="C52" ca="1">_FV(A52,"Industry")</f>
        <v>Textiles &amp; Apparel</v>
      </c>
      <c r="D52" s="29" cm="1">
        <f t="array" aca="1" ref="D52" ca="1">_FV(A52,"Market cap",TRUE)</f>
        <v>113249000000</v>
      </c>
      <c r="E52" s="29" cm="1">
        <f t="array" aca="1" ref="E52" ca="1">_FV(A52,"Price")</f>
        <v>65.97</v>
      </c>
      <c r="F52" s="13" cm="1">
        <f t="array" aca="1" ref="F52" ca="1">_FV(A52,"Change (%)",TRUE)</f>
        <v>-1.6107E-2</v>
      </c>
      <c r="G52" s="29" t="e" cm="1" vm="46">
        <f t="array" ref="G52">_FV(A52,"52 week high",TRUE)</f>
        <v>#VALUE!</v>
      </c>
      <c r="H52" s="29" t="e" cm="1" vm="47">
        <f t="array" ref="H52">_FV(A52,"52 week low",TRUE)</f>
        <v>#VALUE!</v>
      </c>
      <c r="I52" s="30" cm="1">
        <f t="array" aca="1" ref="I52" ca="1">_FV(A52,"Volume")</f>
        <v>1047</v>
      </c>
      <c r="J52" s="29" t="str" cm="1">
        <f t="array" aca="1" ref="J52" ca="1">_FV(Table13[[#This Row],[Company]],"Headquarters")</f>
        <v>One Bowerman Dr, BEAVERTON, OR, 97005-6453 US</v>
      </c>
      <c r="K52" cm="1">
        <f t="array" aca="1" ref="K52" ca="1">_FV(Table13[[#This Row],[Company]],"Year incorporated",TRUE)</f>
        <v>1969</v>
      </c>
      <c r="L52" s="29"/>
      <c r="M52" s="64" t="b">
        <v>0</v>
      </c>
    </row>
    <row r="53" spans="1:13" x14ac:dyDescent="0.2">
      <c r="A53" t="e" vm="48">
        <v>#VALUE!</v>
      </c>
      <c r="B53" s="29" t="str" cm="1">
        <f t="array" aca="1" ref="B53" ca="1">_FV(A53,"Ticker symbol",TRUE)</f>
        <v>GIII</v>
      </c>
      <c r="C53" s="29" t="str" cm="1">
        <f t="array" aca="1" ref="C53" ca="1">_FV(A53,"Industry")</f>
        <v>Textiles &amp; Apparel</v>
      </c>
      <c r="D53" s="29" cm="1">
        <f t="array" aca="1" ref="D53" ca="1">_FV(A53,"Market cap",TRUE)</f>
        <v>1024182000</v>
      </c>
      <c r="E53" s="29" cm="1">
        <f t="array" aca="1" ref="E53" ca="1">_FV(A53,"Price")</f>
        <v>23.43</v>
      </c>
      <c r="F53" s="13" cm="1">
        <f t="array" aca="1" ref="F53" ca="1">_FV(A53,"Change (%)",TRUE)</f>
        <v>-9.3019999999999995E-3</v>
      </c>
      <c r="G53" s="29" cm="1">
        <f t="array" aca="1" ref="G53" ca="1">_FV(A53,"52 week high",TRUE)</f>
        <v>36.18</v>
      </c>
      <c r="H53" s="29" cm="1">
        <f t="array" aca="1" ref="H53" ca="1">_FV(A53,"52 week low",TRUE)</f>
        <v>20.329999999999998</v>
      </c>
      <c r="I53" s="30" cm="1">
        <f t="array" aca="1" ref="I53" ca="1">_FV(A53,"Volume")</f>
        <v>98414</v>
      </c>
      <c r="J53" s="29" t="str" cm="1">
        <f t="array" aca="1" ref="J53" ca="1">_FV(Table13[[#This Row],[Company]],"Headquarters")</f>
        <v>512 7th Avenue, NEW YORK, NY, 10018 US</v>
      </c>
      <c r="K53" cm="1">
        <f t="array" aca="1" ref="K53" ca="1">_FV(Table13[[#This Row],[Company]],"Year incorporated",TRUE)</f>
        <v>1989</v>
      </c>
      <c r="L53" s="29"/>
      <c r="M53" s="64" t="b">
        <v>0</v>
      </c>
    </row>
    <row r="54" spans="1:13" x14ac:dyDescent="0.2">
      <c r="A54" t="e" vm="49">
        <v>#VALUE!</v>
      </c>
      <c r="B54" s="29" t="str" cm="1">
        <f t="array" aca="1" ref="B54" ca="1">_FV(A54,"Ticker symbol",TRUE)</f>
        <v>CROX</v>
      </c>
      <c r="C54" s="29" t="str" cm="1">
        <f t="array" aca="1" ref="C54" ca="1">_FV(A54,"Industry")</f>
        <v>Textiles &amp; Apparel</v>
      </c>
      <c r="D54" s="29" cm="1">
        <f t="array" aca="1" ref="D54" ca="1">_FV(A54,"Market cap",TRUE)</f>
        <v>5637736262</v>
      </c>
      <c r="E54" s="29" cm="1">
        <f t="array" aca="1" ref="E54" ca="1">_FV(A54,"Price")</f>
        <v>100.54</v>
      </c>
      <c r="F54" s="13" cm="1">
        <f t="array" aca="1" ref="F54" ca="1">_FV(A54,"Change (%)",TRUE)</f>
        <v>-1.6531000000000001E-2</v>
      </c>
      <c r="G54" s="29" cm="1">
        <f t="array" aca="1" ref="G54" ca="1">_FV(A54,"52 week high",TRUE)</f>
        <v>151.13</v>
      </c>
      <c r="H54" s="29" cm="1">
        <f t="array" aca="1" ref="H54" ca="1">_FV(A54,"52 week low",TRUE)</f>
        <v>86.11</v>
      </c>
      <c r="I54" s="30" cm="1">
        <f t="array" aca="1" ref="I54" ca="1">_FV(A54,"Volume")</f>
        <v>398635</v>
      </c>
      <c r="J54" s="29" t="str" cm="1">
        <f t="array" aca="1" ref="J54" ca="1">_FV(Table13[[#This Row],[Company]],"Headquarters")</f>
        <v>500 Eldorado Boulevard, Building 5, BROOMFIELD, CO, 80021 US</v>
      </c>
      <c r="K54" cm="1">
        <f t="array" aca="1" ref="K54" ca="1">_FV(Table13[[#This Row],[Company]],"Year incorporated",TRUE)</f>
        <v>2005</v>
      </c>
      <c r="L54" s="29"/>
      <c r="M54" s="64" t="b">
        <v>0</v>
      </c>
    </row>
    <row r="55" spans="1:13" x14ac:dyDescent="0.2">
      <c r="A55" t="e" vm="50">
        <v>#VALUE!</v>
      </c>
      <c r="B55" s="29" t="str" cm="1">
        <f t="array" aca="1" ref="B55" ca="1">_FV(A55,"Ticker symbol",TRUE)</f>
        <v>EL</v>
      </c>
      <c r="C55" s="29" t="str" cm="1">
        <f t="array" aca="1" ref="C55" ca="1">_FV(A55,"Industry")</f>
        <v>Personal &amp; Household Products &amp; Services</v>
      </c>
      <c r="D55" s="29" cm="1">
        <f t="array" aca="1" ref="D55" ca="1">_FV(A55,"Market cap",TRUE)</f>
        <v>33733945040</v>
      </c>
      <c r="E55" s="29" cm="1">
        <f t="array" aca="1" ref="E55" ca="1">_FV(A55,"Price")</f>
        <v>93.77</v>
      </c>
      <c r="F55" s="13" cm="1">
        <f t="array" aca="1" ref="F55" ca="1">_FV(A55,"Change (%)",TRUE)</f>
        <v>1.1740000000000001E-3</v>
      </c>
      <c r="G55" s="29" cm="1">
        <f t="array" aca="1" ref="G55" ca="1">_FV(A55,"52 week high",TRUE)</f>
        <v>103.44</v>
      </c>
      <c r="H55" s="29" cm="1">
        <f t="array" aca="1" ref="H55" ca="1">_FV(A55,"52 week low",TRUE)</f>
        <v>48.370100000000001</v>
      </c>
      <c r="I55" s="30" cm="1">
        <f t="array" aca="1" ref="I55" ca="1">_FV(A55,"Volume")</f>
        <v>1121248</v>
      </c>
      <c r="J55" s="29" t="str" cm="1">
        <f t="array" aca="1" ref="J55" ca="1">_FV(Table13[[#This Row],[Company]],"Headquarters")</f>
        <v>767 Fifth Avenue, NEW YORK, NY, 10153 US</v>
      </c>
      <c r="K55" cm="1">
        <f t="array" aca="1" ref="K55" ca="1">_FV(Table13[[#This Row],[Company]],"Year incorporated",TRUE)</f>
        <v>1976</v>
      </c>
      <c r="L55" s="29"/>
      <c r="M55" s="64" t="b">
        <v>0</v>
      </c>
    </row>
    <row r="56" spans="1:13" x14ac:dyDescent="0.2">
      <c r="A56" t="e" vm="51">
        <v>#VALUE!</v>
      </c>
      <c r="B56" s="29" t="str" cm="1">
        <f t="array" aca="1" ref="B56" ca="1">_FV(A56,"Ticker symbol",TRUE)</f>
        <v>NICE</v>
      </c>
      <c r="C56" s="29" t="str" cm="1">
        <f t="array" aca="1" ref="C56" ca="1">_FV(A56,"Industry")</f>
        <v>Software &amp; IT Services</v>
      </c>
      <c r="D56" s="29" cm="1">
        <f t="array" aca="1" ref="D56" ca="1">_FV(A56,"Market cap",TRUE)</f>
        <v>34741910000</v>
      </c>
      <c r="E56" s="29" cm="1">
        <f t="array" aca="1" ref="E56" ca="1">_FV(A56,"Price")</f>
        <v>53320</v>
      </c>
      <c r="F56" s="13" cm="1">
        <f t="array" aca="1" ref="F56" ca="1">_FV(A56,"Change (%)",TRUE)</f>
        <v>-2.4514999999999999E-2</v>
      </c>
      <c r="G56" s="29" cm="1">
        <f t="array" aca="1" ref="G56" ca="1">_FV(A56,"52 week high",TRUE)</f>
        <v>99480</v>
      </c>
      <c r="H56" s="29" cm="1">
        <f t="array" aca="1" ref="H56" ca="1">_FV(A56,"52 week low",TRUE)</f>
        <v>42310</v>
      </c>
      <c r="I56" s="30" cm="1">
        <f t="array" aca="1" ref="I56" ca="1">_FV(A56,"Volume")</f>
        <v>151941</v>
      </c>
      <c r="J56" s="29" t="str" cm="1">
        <f t="array" aca="1" ref="J56" ca="1">_FV(Table13[[#This Row],[Company]],"Headquarters")</f>
        <v>13 Zarhin Street, Nice 1, 2, 3, P.O. Box 690, RA'ANANA, 4310602 IL</v>
      </c>
      <c r="K56" cm="1">
        <f t="array" aca="1" ref="K56" ca="1">_FV(Table13[[#This Row],[Company]],"Year incorporated",TRUE)</f>
        <v>1986</v>
      </c>
      <c r="L56" s="29"/>
      <c r="M56" s="64" t="b">
        <v>0</v>
      </c>
    </row>
    <row r="57" spans="1:13" x14ac:dyDescent="0.2">
      <c r="A57" t="e" vm="52">
        <v>#VALUE!</v>
      </c>
      <c r="B57" s="29" t="str" cm="1">
        <f t="array" aca="1" ref="B57" ca="1">_FV(A57,"Ticker symbol",TRUE)</f>
        <v>HELE</v>
      </c>
      <c r="C57" s="29" t="str" cm="1">
        <f t="array" aca="1" ref="C57" ca="1">_FV(A57,"Industry")</f>
        <v>Household Goods</v>
      </c>
      <c r="D57" s="29" cm="1">
        <f t="array" aca="1" ref="D57" ca="1">_FV(A57,"Market cap",TRUE)</f>
        <v>505591583</v>
      </c>
      <c r="E57" s="29" cm="1">
        <f t="array" aca="1" ref="E57" ca="1">_FV(A57,"Price")</f>
        <v>22.024999999999999</v>
      </c>
      <c r="F57" s="13" cm="1">
        <f t="array" aca="1" ref="F57" ca="1">_FV(A57,"Change (%)",TRUE)</f>
        <v>-1.6740999999999999E-2</v>
      </c>
      <c r="G57" s="29" cm="1">
        <f t="array" aca="1" ref="G57" ca="1">_FV(A57,"52 week high",TRUE)</f>
        <v>77.95</v>
      </c>
      <c r="H57" s="29" cm="1">
        <f t="array" aca="1" ref="H57" ca="1">_FV(A57,"52 week low",TRUE)</f>
        <v>20.02</v>
      </c>
      <c r="I57" s="30" cm="1">
        <f t="array" aca="1" ref="I57" ca="1">_FV(A57,"Volume")</f>
        <v>207866</v>
      </c>
      <c r="J57" s="29" t="str" cm="1">
        <f t="array" aca="1" ref="J57" ca="1">_FV(Table13[[#This Row],[Company]],"Headquarters")</f>
        <v>Clarendon House, 2 Church Street, HAMILTON, HM 11 BM</v>
      </c>
      <c r="K57" cm="1">
        <f t="array" aca="1" ref="K57" ca="1">_FV(Table13[[#This Row],[Company]],"Year incorporated",TRUE)</f>
        <v>1993</v>
      </c>
      <c r="L57" s="29"/>
      <c r="M57" s="64" t="b">
        <v>0</v>
      </c>
    </row>
    <row r="58" spans="1:13" x14ac:dyDescent="0.2">
      <c r="A58" t="e" vm="53">
        <v>#VALUE!</v>
      </c>
      <c r="B58" s="29" t="str" cm="1">
        <f t="array" aca="1" ref="B58" ca="1">_FV(A58,"Ticker symbol",TRUE)</f>
        <v>PVH</v>
      </c>
      <c r="C58" s="29" t="str" cm="1">
        <f t="array" aca="1" ref="C58" ca="1">_FV(A58,"Industry")</f>
        <v>Textiles &amp; Apparel</v>
      </c>
      <c r="D58" s="29" cm="1">
        <f t="array" aca="1" ref="D58" ca="1">_FV(A58,"Market cap",TRUE)</f>
        <v>3539623825</v>
      </c>
      <c r="E58" s="29" cm="1">
        <f t="array" aca="1" ref="E58" ca="1">_FV(A58,"Price")</f>
        <v>73.63</v>
      </c>
      <c r="F58" s="13" cm="1">
        <f t="array" aca="1" ref="F58" ca="1">_FV(A58,"Change (%)",TRUE)</f>
        <v>-1.6431000000000001E-2</v>
      </c>
      <c r="G58" s="29" cm="1">
        <f t="array" aca="1" ref="G58" ca="1">_FV(A58,"52 week high",TRUE)</f>
        <v>113.47</v>
      </c>
      <c r="H58" s="29" cm="1">
        <f t="array" aca="1" ref="H58" ca="1">_FV(A58,"52 week low",TRUE)</f>
        <v>59.280099999999997</v>
      </c>
      <c r="I58" s="30" cm="1">
        <f t="array" aca="1" ref="I58" ca="1">_FV(A58,"Volume")</f>
        <v>168997</v>
      </c>
      <c r="J58" s="29" t="str" cm="1">
        <f t="array" aca="1" ref="J58" ca="1">_FV(Table13[[#This Row],[Company]],"Headquarters")</f>
        <v>285 Madison Avenue, NEW YORK, NY, 10017 US</v>
      </c>
      <c r="K58" cm="1">
        <f t="array" aca="1" ref="K58" ca="1">_FV(Table13[[#This Row],[Company]],"Year incorporated",TRUE)</f>
        <v>1976</v>
      </c>
      <c r="L58" s="29"/>
      <c r="M58" s="64" t="b">
        <v>0</v>
      </c>
    </row>
  </sheetData>
  <conditionalFormatting sqref="F10:F58">
    <cfRule type="cellIs" dxfId="54" priority="1" operator="greaterThan">
      <formula>0</formula>
    </cfRule>
    <cfRule type="cellIs" dxfId="53" priority="2" operator="lessThan">
      <formula>0</formula>
    </cfRule>
  </conditionalFormatting>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480EA-7F06-3B46-A31E-4E0AAA9E498E}">
  <sheetPr codeName="Sheet4">
    <tabColor theme="3" tint="0.499984740745262"/>
  </sheetPr>
  <dimension ref="A1:BU120"/>
  <sheetViews>
    <sheetView tabSelected="1" zoomScale="131" zoomScaleNormal="125" workbookViewId="0">
      <selection activeCell="B3" sqref="B3"/>
    </sheetView>
  </sheetViews>
  <sheetFormatPr baseColWidth="10" defaultRowHeight="16" x14ac:dyDescent="0.2"/>
  <cols>
    <col min="1" max="1" width="13.1640625" customWidth="1"/>
    <col min="2" max="2" width="7.83203125" customWidth="1"/>
    <col min="3" max="3" width="1.83203125" customWidth="1"/>
    <col min="4" max="4" width="22.5" customWidth="1"/>
    <col min="5" max="5" width="1.5" style="6" customWidth="1"/>
    <col min="6" max="6" width="7" customWidth="1"/>
    <col min="7" max="7" width="1.5" style="6" customWidth="1"/>
    <col min="8" max="8" width="8" customWidth="1"/>
    <col min="9" max="9" width="8.1640625" customWidth="1"/>
    <col min="10" max="10" width="7.1640625" customWidth="1"/>
    <col min="11" max="11" width="7.83203125" customWidth="1"/>
    <col min="12" max="12" width="8.5" customWidth="1"/>
    <col min="13" max="13" width="7.33203125" customWidth="1"/>
    <col min="14" max="14" width="6.83203125" customWidth="1"/>
    <col min="15" max="15" width="6.1640625" customWidth="1"/>
    <col min="16" max="16" width="6.83203125" customWidth="1"/>
    <col min="17" max="17" width="7.6640625" customWidth="1"/>
    <col min="18" max="18" width="7.33203125" customWidth="1"/>
    <col min="19" max="19" width="7.1640625" customWidth="1"/>
    <col min="20" max="20" width="7.6640625" customWidth="1"/>
    <col min="21" max="21" width="7.1640625" customWidth="1"/>
    <col min="22" max="22" width="6.33203125" customWidth="1"/>
    <col min="23" max="23" width="1.6640625" style="6" customWidth="1"/>
    <col min="24" max="24" width="8" customWidth="1"/>
    <col min="25" max="25" width="9" customWidth="1"/>
    <col min="26" max="26" width="9.33203125" customWidth="1"/>
    <col min="27" max="27" width="9.83203125" customWidth="1"/>
    <col min="28" max="28" width="7.1640625" customWidth="1"/>
    <col min="29" max="29" width="8.33203125" customWidth="1"/>
    <col min="30" max="30" width="8.6640625" customWidth="1"/>
    <col min="31" max="31" width="8.83203125" customWidth="1"/>
    <col min="32" max="32" width="10.5" customWidth="1"/>
    <col min="33" max="34" width="8.1640625" customWidth="1"/>
    <col min="35" max="35" width="6.83203125" customWidth="1"/>
    <col min="41" max="41" width="13.1640625" customWidth="1"/>
    <col min="51" max="51" width="21.1640625" customWidth="1"/>
    <col min="55" max="55" width="21.6640625" customWidth="1"/>
  </cols>
  <sheetData>
    <row r="1" spans="1:71" x14ac:dyDescent="0.2">
      <c r="A1" s="6"/>
      <c r="B1" s="6"/>
      <c r="C1" s="6"/>
      <c r="D1" s="6"/>
      <c r="F1" s="6"/>
      <c r="H1" s="71"/>
      <c r="I1" s="71"/>
      <c r="J1" s="71"/>
      <c r="K1" s="6"/>
      <c r="L1" s="6"/>
      <c r="M1" s="6"/>
      <c r="N1" s="6"/>
      <c r="O1" s="6"/>
      <c r="P1" s="6"/>
      <c r="Q1" s="6"/>
      <c r="R1" s="6"/>
      <c r="S1" s="6"/>
      <c r="T1" s="6"/>
      <c r="U1" s="6"/>
      <c r="V1" s="6"/>
      <c r="X1" s="6"/>
      <c r="Y1" s="6"/>
      <c r="Z1" s="6"/>
      <c r="AA1" s="6"/>
      <c r="AB1" s="6"/>
      <c r="AC1" s="6"/>
      <c r="AD1" s="6"/>
      <c r="AE1" s="6"/>
      <c r="AF1" s="6"/>
      <c r="AG1" s="6"/>
      <c r="AH1" s="6"/>
      <c r="AI1" s="6"/>
      <c r="AJ1" s="6"/>
      <c r="AK1" s="6"/>
      <c r="AL1" s="6"/>
      <c r="AM1" s="6"/>
      <c r="AN1" s="6"/>
      <c r="AO1" s="6"/>
      <c r="AP1" s="6"/>
      <c r="AQ1" s="6"/>
    </row>
    <row r="2" spans="1:71" x14ac:dyDescent="0.2">
      <c r="A2" t="s">
        <v>391</v>
      </c>
      <c r="B2" s="65" t="s">
        <v>531</v>
      </c>
      <c r="C2" s="6"/>
      <c r="D2" s="6"/>
      <c r="F2" s="6"/>
      <c r="H2" s="72"/>
      <c r="I2" s="73"/>
      <c r="J2" s="73"/>
      <c r="K2" s="6"/>
      <c r="L2" s="6"/>
      <c r="M2" s="6"/>
      <c r="N2" s="6"/>
      <c r="O2" s="6"/>
      <c r="P2" s="6"/>
      <c r="Q2" s="6"/>
      <c r="R2" s="6"/>
      <c r="S2" s="6"/>
      <c r="T2" s="6"/>
      <c r="U2" s="6"/>
      <c r="V2" s="6"/>
      <c r="X2" s="6"/>
      <c r="Y2" s="6"/>
      <c r="Z2" s="6"/>
      <c r="AA2" s="6"/>
      <c r="AB2" s="6"/>
      <c r="AC2" s="6"/>
      <c r="AD2" s="6"/>
      <c r="AE2" s="6"/>
      <c r="AF2" s="6"/>
      <c r="AG2" s="6"/>
      <c r="AH2" s="6"/>
      <c r="AI2" s="6"/>
      <c r="AJ2" s="6"/>
      <c r="AK2" s="6"/>
      <c r="AL2" s="6"/>
      <c r="AM2" s="6"/>
      <c r="AN2" s="6"/>
      <c r="AO2" s="6"/>
      <c r="AP2" s="6"/>
      <c r="AQ2" s="6"/>
    </row>
    <row r="3" spans="1:71" x14ac:dyDescent="0.2">
      <c r="A3" s="6"/>
      <c r="B3" s="6"/>
      <c r="C3" s="6"/>
      <c r="D3" s="6"/>
      <c r="F3" s="6"/>
      <c r="G3" s="6">
        <v>2</v>
      </c>
      <c r="H3" s="6">
        <v>3</v>
      </c>
      <c r="I3" s="6">
        <v>4</v>
      </c>
      <c r="J3" s="6">
        <v>5</v>
      </c>
      <c r="K3" s="6">
        <v>6</v>
      </c>
      <c r="L3" s="6">
        <v>7</v>
      </c>
      <c r="M3" s="6">
        <v>8</v>
      </c>
      <c r="N3" s="6">
        <v>9</v>
      </c>
      <c r="O3" s="6">
        <v>10</v>
      </c>
      <c r="P3" s="6">
        <v>11</v>
      </c>
      <c r="Q3" s="6">
        <v>12</v>
      </c>
      <c r="R3" s="6">
        <v>13</v>
      </c>
      <c r="S3" s="6">
        <v>14</v>
      </c>
      <c r="T3" s="6">
        <v>15</v>
      </c>
      <c r="U3" s="6">
        <v>16</v>
      </c>
      <c r="V3" s="6">
        <v>17</v>
      </c>
      <c r="X3" s="6"/>
      <c r="Y3" s="6"/>
      <c r="Z3" s="6"/>
      <c r="AA3" s="6"/>
      <c r="AB3" s="6"/>
      <c r="AC3" s="6"/>
      <c r="AD3" s="6"/>
      <c r="AE3" s="6"/>
      <c r="AF3" s="6"/>
      <c r="AG3" s="6"/>
      <c r="AH3" s="6"/>
      <c r="AI3" s="6"/>
      <c r="AJ3" s="6"/>
      <c r="AK3" s="6"/>
      <c r="AL3" s="6"/>
      <c r="AM3" s="6"/>
      <c r="AN3" s="6"/>
      <c r="AO3" s="6"/>
      <c r="AP3" s="32"/>
      <c r="AQ3" s="32"/>
      <c r="AR3" s="31"/>
      <c r="AS3" s="31"/>
      <c r="AT3" s="31"/>
      <c r="AU3" s="31"/>
      <c r="AV3" s="31"/>
      <c r="AW3" s="31"/>
      <c r="AX3" s="31"/>
      <c r="AY3" s="31"/>
      <c r="AZ3" s="31"/>
    </row>
    <row r="4" spans="1:71" ht="14" customHeight="1" x14ac:dyDescent="0.2">
      <c r="A4" s="50" t="s">
        <v>45</v>
      </c>
      <c r="B4" s="50" t="str">
        <f>Statistics!B5</f>
        <v>112.01B</v>
      </c>
      <c r="C4" s="6"/>
      <c r="D4" s="53" t="s">
        <v>43</v>
      </c>
      <c r="E4" s="14"/>
      <c r="F4" s="31" t="s">
        <v>44</v>
      </c>
      <c r="G4" s="14"/>
      <c r="H4" s="31">
        <f>HData!C5</f>
        <v>2024</v>
      </c>
      <c r="I4" s="31">
        <f>HData!D5</f>
        <v>2023</v>
      </c>
      <c r="J4" s="31">
        <f>HData!E5</f>
        <v>2022</v>
      </c>
      <c r="K4" s="31">
        <f>HData!F5</f>
        <v>2021</v>
      </c>
      <c r="L4" s="31">
        <f>HData!G5</f>
        <v>2020</v>
      </c>
      <c r="M4" s="31">
        <f>HData!H5</f>
        <v>2019</v>
      </c>
      <c r="N4" s="31">
        <f>HData!I5</f>
        <v>2018</v>
      </c>
      <c r="O4" s="31">
        <f>HData!J5</f>
        <v>2017</v>
      </c>
      <c r="P4" s="31">
        <f>HData!K5</f>
        <v>2016</v>
      </c>
      <c r="Q4" s="31">
        <f>HData!L5</f>
        <v>2015</v>
      </c>
      <c r="R4" s="31">
        <f>HData!M5</f>
        <v>2014</v>
      </c>
      <c r="S4" s="31">
        <f>HData!N5</f>
        <v>2013</v>
      </c>
      <c r="T4" s="31">
        <f>HData!O5</f>
        <v>2012</v>
      </c>
      <c r="U4" s="31">
        <f>HData!P5</f>
        <v>2011</v>
      </c>
      <c r="V4" s="31">
        <f>HData!Q5</f>
        <v>2010</v>
      </c>
      <c r="W4" s="32"/>
      <c r="X4" s="50" t="s">
        <v>395</v>
      </c>
      <c r="Y4" s="61" t="s">
        <v>396</v>
      </c>
      <c r="Z4" s="61" t="s">
        <v>397</v>
      </c>
      <c r="AA4" s="50" t="s">
        <v>398</v>
      </c>
      <c r="AB4" s="6"/>
      <c r="AC4" s="6"/>
      <c r="AD4" s="6"/>
      <c r="AE4" s="6"/>
      <c r="AF4" s="6"/>
      <c r="AG4" s="6"/>
      <c r="AH4" s="6"/>
      <c r="AI4" s="6"/>
      <c r="AJ4" s="6"/>
      <c r="AK4" s="6"/>
      <c r="AL4" s="6"/>
      <c r="AM4" s="6"/>
      <c r="AN4" s="6"/>
      <c r="AO4" s="6"/>
      <c r="AP4" s="6"/>
      <c r="AQ4" s="6"/>
      <c r="AR4" s="18" t="s">
        <v>47</v>
      </c>
      <c r="AT4" s="6"/>
      <c r="AU4" s="25"/>
      <c r="AV4" s="6"/>
      <c r="AY4" s="67"/>
    </row>
    <row r="5" spans="1:71" ht="14" customHeight="1" x14ac:dyDescent="0.25">
      <c r="A5" s="50" t="s">
        <v>40</v>
      </c>
      <c r="B5" s="50" t="str">
        <f>Statistics!B6</f>
        <v>119.98B</v>
      </c>
      <c r="C5" s="6"/>
      <c r="D5" s="53" t="s">
        <v>0</v>
      </c>
      <c r="E5" s="14"/>
      <c r="F5" s="32"/>
      <c r="G5" s="15"/>
      <c r="H5" s="32"/>
      <c r="I5" s="32"/>
      <c r="J5" s="32"/>
      <c r="K5" s="32"/>
      <c r="L5" s="32"/>
      <c r="M5" s="32"/>
      <c r="N5" s="32"/>
      <c r="O5" s="32"/>
      <c r="P5" s="32"/>
      <c r="Q5" s="32"/>
      <c r="R5" s="32"/>
      <c r="S5" s="32"/>
      <c r="T5" s="32"/>
      <c r="U5" s="32"/>
      <c r="V5" s="32"/>
      <c r="W5" s="32"/>
      <c r="X5" s="6"/>
      <c r="Y5" s="6"/>
      <c r="Z5" s="6"/>
      <c r="AA5" s="6"/>
      <c r="AB5" s="6"/>
      <c r="AC5" s="6"/>
      <c r="AD5" s="6"/>
      <c r="AE5" s="6"/>
      <c r="AF5" s="24"/>
      <c r="AG5" s="24"/>
      <c r="AH5" s="24"/>
      <c r="AI5" s="24"/>
      <c r="AJ5" s="24"/>
      <c r="AK5" s="6"/>
      <c r="AL5" s="6"/>
      <c r="AM5" s="6"/>
      <c r="AN5" s="6"/>
      <c r="AO5" s="6"/>
      <c r="AP5" s="6"/>
      <c r="AQ5" s="6"/>
      <c r="AR5" s="3" t="s">
        <v>59</v>
      </c>
      <c r="AS5" s="21">
        <f>Statistics!B108</f>
        <v>469.27</v>
      </c>
      <c r="AT5" s="6"/>
      <c r="AU5" s="22"/>
      <c r="AV5" s="24"/>
      <c r="AY5" s="10" t="s">
        <v>0</v>
      </c>
    </row>
    <row r="6" spans="1:71" ht="14" customHeight="1" x14ac:dyDescent="0.2">
      <c r="A6" s="53" t="s">
        <v>42</v>
      </c>
      <c r="C6" s="6"/>
      <c r="D6" s="50" t="s">
        <v>32</v>
      </c>
      <c r="E6" s="32"/>
      <c r="F6" s="51">
        <f>VLOOKUP(AY6,'12QData'!$A$5:$W$218,2,FALSE)</f>
        <v>459.28</v>
      </c>
      <c r="G6" s="55"/>
      <c r="H6" s="51">
        <f>VLOOKUP($D6,HData!$A$2:$AE$219,H$3,FALSE)</f>
        <v>463.5</v>
      </c>
      <c r="I6" s="51">
        <f>VLOOKUP($D6,HData!$A$2:$AE$219,I$3,FALSE)</f>
        <v>496.3</v>
      </c>
      <c r="J6" s="51">
        <f>VLOOKUP($D6,HData!$A$2:$AE$219,J$3,FALSE)</f>
        <v>499.3</v>
      </c>
      <c r="K6" s="51">
        <f>VLOOKUP($D6,HData!$A$2:$AE$219,K$3,FALSE)</f>
        <v>510.8</v>
      </c>
      <c r="L6" s="51">
        <f>VLOOKUP($D6,HData!$A$2:$AE$219,L$3,FALSE)</f>
        <v>480.7</v>
      </c>
      <c r="M6" s="51">
        <f>VLOOKUP($D6,HData!$A$2:$AE$219,M$3,FALSE)</f>
        <v>486.3</v>
      </c>
      <c r="N6" s="51">
        <f>VLOOKUP($D6,HData!$A$2:$AE$219,N$3,FALSE)</f>
        <v>497.6</v>
      </c>
      <c r="O6" s="51">
        <f>VLOOKUP($D6,HData!$A$2:$AE$219,O$3,FALSE)</f>
        <v>503.8</v>
      </c>
      <c r="P6" s="51">
        <f>VLOOKUP($D6,HData!$A$2:$AE$219,P$3,FALSE)</f>
        <v>513.6</v>
      </c>
      <c r="Q6" s="51">
        <f>VLOOKUP($D6,HData!$A$2:$AE$219,Q$3,FALSE)</f>
        <v>529.9</v>
      </c>
      <c r="R6" s="51">
        <f>VLOOKUP($D6,HData!$A$2:$AE$219,R$3,FALSE)</f>
        <v>579.79999999999995</v>
      </c>
      <c r="S6" s="51">
        <f>VLOOKUP($D6,HData!$A$2:$AE$219,S$3,FALSE)</f>
        <v>575.9</v>
      </c>
      <c r="T6" s="51">
        <f>VLOOKUP($D6,HData!$A$2:$AE$219,T$3,FALSE)</f>
        <v>565.70000000000005</v>
      </c>
      <c r="U6" s="51">
        <f>VLOOKUP($D6,HData!$A$2:$AE$219,U$3,FALSE)</f>
        <v>537.20000000000005</v>
      </c>
      <c r="V6" s="51">
        <f>VLOOKUP($D6,HData!$A$2:$AE$219,V$3,FALSE)</f>
        <v>454.6</v>
      </c>
      <c r="W6" s="32"/>
      <c r="X6" s="61">
        <f>AVERAGE(BE6:BI6)</f>
        <v>-8.7019366705030025E-3</v>
      </c>
      <c r="Y6" s="61">
        <f>(H6-I6)/I6</f>
        <v>-6.6089059036872885E-2</v>
      </c>
      <c r="Z6" s="61">
        <f>(H6-L6)/L6</f>
        <v>-3.5781152485957958E-2</v>
      </c>
      <c r="AA6" s="61">
        <f>(H6-Q6)/Q6</f>
        <v>-0.12530666163427057</v>
      </c>
      <c r="AB6" s="6"/>
      <c r="AC6" s="26"/>
      <c r="AD6" s="6"/>
      <c r="AE6" s="6"/>
      <c r="AF6" s="6"/>
      <c r="AG6" s="6"/>
      <c r="AH6" s="6"/>
      <c r="AI6" s="6"/>
      <c r="AJ6" s="6"/>
      <c r="AK6" s="6"/>
      <c r="AL6" s="6"/>
      <c r="AM6" s="6"/>
      <c r="AN6" s="6"/>
      <c r="AO6" s="6"/>
      <c r="AP6" s="6"/>
      <c r="AQ6" s="6"/>
      <c r="AR6" s="3" t="s">
        <v>60</v>
      </c>
      <c r="AS6" s="13">
        <f>Statistics!B109</f>
        <v>0.18790000000000001</v>
      </c>
      <c r="AT6" s="6"/>
      <c r="AU6" s="22"/>
      <c r="AV6" s="26"/>
      <c r="AY6" s="70" t="s">
        <v>32</v>
      </c>
      <c r="BE6">
        <f t="shared" ref="BE6:BE14" si="0">(H6-I6)/I6</f>
        <v>-6.6089059036872885E-2</v>
      </c>
      <c r="BF6">
        <f t="shared" ref="BF6:BF14" si="1">(I6-J6)/J6</f>
        <v>-6.0084117764870821E-3</v>
      </c>
      <c r="BG6">
        <f t="shared" ref="BG6:BG14" si="2">(J6-K6)/K6</f>
        <v>-2.2513703993735316E-2</v>
      </c>
      <c r="BH6">
        <f t="shared" ref="BH6:BH14" si="3">(K6-L6)/L6</f>
        <v>6.2617016850426505E-2</v>
      </c>
      <c r="BI6">
        <f t="shared" ref="BI6:BI14" si="4">(L6-M6)/M6</f>
        <v>-1.1515525395846231E-2</v>
      </c>
      <c r="BJ6">
        <f t="shared" ref="BJ6:BJ14" si="5">(M6-N6)/N6</f>
        <v>-2.2709003215434106E-2</v>
      </c>
      <c r="BK6">
        <f t="shared" ref="BK6:BK14" si="6">(N6-O6)/O6</f>
        <v>-1.2306470821754642E-2</v>
      </c>
      <c r="BL6">
        <f t="shared" ref="BL6:BL14" si="7">(O6-P6)/P6</f>
        <v>-1.9080996884735225E-2</v>
      </c>
      <c r="BM6">
        <f t="shared" ref="BM6:BM14" si="8">(P6-Q6)/Q6</f>
        <v>-3.0760520852991045E-2</v>
      </c>
      <c r="BN6">
        <f t="shared" ref="BN6:BN14" si="9">(Q6-R6)/R6</f>
        <v>-8.6064160055191408E-2</v>
      </c>
      <c r="BO6">
        <f t="shared" ref="BO6:BO14" si="10">(R6-S6)/S6</f>
        <v>6.7720090293453333E-3</v>
      </c>
      <c r="BP6">
        <f t="shared" ref="BP6:BP14" si="11">(S6-T6)/T6</f>
        <v>1.8030758352483526E-2</v>
      </c>
      <c r="BQ6">
        <f t="shared" ref="BQ6:BQ14" si="12">(T6-U6)/U6</f>
        <v>5.3052866716306768E-2</v>
      </c>
      <c r="BR6">
        <f t="shared" ref="BR6:BR14" si="13">(U6-V6)/V6</f>
        <v>0.18169819621645406</v>
      </c>
      <c r="BS6" t="e">
        <f t="shared" ref="BS6:BS14" si="14">(V6-W6)/W6</f>
        <v>#DIV/0!</v>
      </c>
    </row>
    <row r="7" spans="1:71" ht="15" customHeight="1" x14ac:dyDescent="0.2">
      <c r="A7" s="3" t="s">
        <v>19</v>
      </c>
      <c r="B7" s="50" t="str">
        <f>Statistics!B19</f>
        <v>n/a</v>
      </c>
      <c r="C7" s="6"/>
      <c r="D7" s="50" t="s">
        <v>1</v>
      </c>
      <c r="E7" s="32"/>
      <c r="F7" s="51">
        <f>VLOOKUP(AY7,'12QData'!$A$5:$W$218,2,FALSE)</f>
        <v>325.85000000000002</v>
      </c>
      <c r="G7" s="55"/>
      <c r="H7" s="51">
        <f>VLOOKUP($D7,HData!$A$2:$AE$219,H$3,FALSE)</f>
        <v>334</v>
      </c>
      <c r="I7" s="51">
        <f>VLOOKUP($D7,HData!$A$2:$AE$219,I$3,FALSE)</f>
        <v>386.3</v>
      </c>
      <c r="J7" s="51">
        <f>VLOOKUP($D7,HData!$A$2:$AE$219,J$3,FALSE)</f>
        <v>396.3</v>
      </c>
      <c r="K7" s="51">
        <f>VLOOKUP($D7,HData!$A$2:$AE$219,K$3,FALSE)</f>
        <v>418.9</v>
      </c>
      <c r="L7" s="51">
        <f>VLOOKUP($D7,HData!$A$2:$AE$219,L$3,FALSE)</f>
        <v>389.7</v>
      </c>
      <c r="M7" s="51">
        <f>VLOOKUP($D7,HData!$A$2:$AE$219,M$3,FALSE)</f>
        <v>386.4</v>
      </c>
      <c r="N7" s="51">
        <f>VLOOKUP($D7,HData!$A$2:$AE$219,N$3,FALSE)</f>
        <v>398.1</v>
      </c>
      <c r="O7" s="51">
        <f>VLOOKUP($D7,HData!$A$2:$AE$219,O$3,FALSE)</f>
        <v>407.2</v>
      </c>
      <c r="P7" s="51">
        <f>VLOOKUP($D7,HData!$A$2:$AE$219,P$3,FALSE)</f>
        <v>420.4</v>
      </c>
      <c r="Q7" s="51">
        <f>VLOOKUP($D7,HData!$A$2:$AE$219,Q$3,FALSE)</f>
        <v>428.8</v>
      </c>
      <c r="R7" s="51">
        <f>VLOOKUP($D7,HData!$A$2:$AE$219,R$3,FALSE)</f>
        <v>444.6</v>
      </c>
      <c r="S7" s="51">
        <f>VLOOKUP($D7,HData!$A$2:$AE$219,S$3,FALSE)</f>
        <v>437.3</v>
      </c>
      <c r="T7" s="51">
        <f>VLOOKUP($D7,HData!$A$2:$AE$219,T$3,FALSE)</f>
        <v>424.6</v>
      </c>
      <c r="U7" s="51">
        <f>VLOOKUP($D7,HData!$A$2:$AE$219,U$3,FALSE)</f>
        <v>406.5</v>
      </c>
      <c r="V7" s="51">
        <f>VLOOKUP($D7,HData!$A$2:$AE$219,V$3,FALSE)</f>
        <v>348.5</v>
      </c>
      <c r="W7" s="32"/>
      <c r="X7" s="61">
        <f t="shared" ref="X7:X14" si="15">AVERAGE(BE7:BI7)</f>
        <v>-2.6220286393938207E-2</v>
      </c>
      <c r="Y7" s="61">
        <f t="shared" ref="Y7:Y14" si="16">(H7-I7)/I7</f>
        <v>-0.13538700491845718</v>
      </c>
      <c r="Z7" s="61">
        <f t="shared" ref="Z7:Z14" si="17">(H7-L7)/L7</f>
        <v>-0.14293045932768794</v>
      </c>
      <c r="AA7" s="61">
        <f t="shared" ref="AA7:AA14" si="18">(H7-Q7)/Q7</f>
        <v>-0.22108208955223882</v>
      </c>
      <c r="AB7" s="6"/>
      <c r="AC7" s="26"/>
      <c r="AD7" s="6"/>
      <c r="AE7" s="6"/>
      <c r="AF7" s="6"/>
      <c r="AG7" s="6"/>
      <c r="AH7" s="6"/>
      <c r="AI7" s="6"/>
      <c r="AJ7" s="6"/>
      <c r="AK7" s="6"/>
      <c r="AL7" s="6"/>
      <c r="AM7" s="6"/>
      <c r="AN7" s="6"/>
      <c r="AO7" s="6"/>
      <c r="AP7" s="6"/>
      <c r="AQ7" s="6"/>
      <c r="AR7" s="3" t="s">
        <v>61</v>
      </c>
      <c r="AS7" s="21" t="str">
        <f>Statistics!B110</f>
        <v>Strong Buy</v>
      </c>
      <c r="AT7" s="6"/>
      <c r="AU7" s="6"/>
      <c r="AV7" s="6"/>
      <c r="AY7" s="70" t="s">
        <v>1</v>
      </c>
      <c r="BE7">
        <f t="shared" si="0"/>
        <v>-0.13538700491845718</v>
      </c>
      <c r="BF7">
        <f t="shared" si="1"/>
        <v>-2.5233409033560434E-2</v>
      </c>
      <c r="BG7">
        <f t="shared" si="2"/>
        <v>-5.3950823585581204E-2</v>
      </c>
      <c r="BH7">
        <f t="shared" si="3"/>
        <v>7.4929432897100301E-2</v>
      </c>
      <c r="BI7">
        <f t="shared" si="4"/>
        <v>8.5403726708074834E-3</v>
      </c>
      <c r="BJ7">
        <f t="shared" si="5"/>
        <v>-2.9389600602863716E-2</v>
      </c>
      <c r="BK7">
        <f t="shared" si="6"/>
        <v>-2.2347740667976342E-2</v>
      </c>
      <c r="BL7">
        <f t="shared" si="7"/>
        <v>-3.139866793529969E-2</v>
      </c>
      <c r="BM7">
        <f t="shared" si="8"/>
        <v>-1.9589552238806048E-2</v>
      </c>
      <c r="BN7">
        <f t="shared" si="9"/>
        <v>-3.553756185335135E-2</v>
      </c>
      <c r="BO7">
        <f t="shared" si="10"/>
        <v>1.6693345529384888E-2</v>
      </c>
      <c r="BP7">
        <f t="shared" si="11"/>
        <v>2.9910504003768223E-2</v>
      </c>
      <c r="BQ7">
        <f t="shared" si="12"/>
        <v>4.4526445264452701E-2</v>
      </c>
      <c r="BR7">
        <f t="shared" si="13"/>
        <v>0.16642754662840745</v>
      </c>
      <c r="BS7" t="e">
        <f t="shared" si="14"/>
        <v>#DIV/0!</v>
      </c>
    </row>
    <row r="8" spans="1:71" ht="14" customHeight="1" x14ac:dyDescent="0.2">
      <c r="A8" s="3" t="s">
        <v>48</v>
      </c>
      <c r="B8" s="50" t="str">
        <f>Statistics!B20</f>
        <v>n/a</v>
      </c>
      <c r="C8" s="6"/>
      <c r="D8" s="50" t="s">
        <v>17</v>
      </c>
      <c r="E8" s="32"/>
      <c r="F8" s="51">
        <f>VLOOKUP(AY8,'12QData'!$A$5:$W$218,2,FALSE)</f>
        <v>-5331</v>
      </c>
      <c r="G8" s="55"/>
      <c r="H8" s="51">
        <f>VLOOKUP($D8,HData!$A$2:$AE$219,H$3,FALSE)</f>
        <v>-1167</v>
      </c>
      <c r="I8" s="51">
        <f>VLOOKUP($D8,HData!$A$2:$AE$219,I$3,FALSE)</f>
        <v>429.1</v>
      </c>
      <c r="J8" s="51">
        <f>VLOOKUP($D8,HData!$A$2:$AE$219,J$3,FALSE)</f>
        <v>-1470</v>
      </c>
      <c r="K8" s="51">
        <f>VLOOKUP($D8,HData!$A$2:$AE$219,K$3,FALSE)</f>
        <v>-535.5</v>
      </c>
      <c r="L8" s="51">
        <f>VLOOKUP($D8,HData!$A$2:$AE$219,L$3,FALSE)</f>
        <v>-7.52</v>
      </c>
      <c r="M8" s="51">
        <f>VLOOKUP($D8,HData!$A$2:$AE$219,M$3,FALSE)</f>
        <v>34.35</v>
      </c>
      <c r="N8" s="51">
        <f>VLOOKUP($D8,HData!$A$2:$AE$219,N$3,FALSE)</f>
        <v>22.5</v>
      </c>
      <c r="O8" s="51">
        <f>VLOOKUP($D8,HData!$A$2:$AE$219,O$3,FALSE)</f>
        <v>18.2</v>
      </c>
      <c r="P8" s="51">
        <f>VLOOKUP($D8,HData!$A$2:$AE$219,P$3,FALSE)</f>
        <v>92.24</v>
      </c>
      <c r="Q8" s="51">
        <f>VLOOKUP($D8,HData!$A$2:$AE$219,Q$3,FALSE)</f>
        <v>105.9</v>
      </c>
      <c r="R8" s="51">
        <f>VLOOKUP($D8,HData!$A$2:$AE$219,R$3,FALSE)</f>
        <v>5.04</v>
      </c>
      <c r="S8" s="51">
        <f>VLOOKUP($D8,HData!$A$2:$AE$219,S$3,FALSE)</f>
        <v>83.33</v>
      </c>
      <c r="T8" s="51">
        <f>VLOOKUP($D8,HData!$A$2:$AE$219,T$3,FALSE)</f>
        <v>20.55</v>
      </c>
      <c r="U8" s="51">
        <f>VLOOKUP($D8,HData!$A$2:$AE$219,U$3,FALSE)</f>
        <v>17.940000000000001</v>
      </c>
      <c r="V8" s="51">
        <f>VLOOKUP($D8,HData!$A$2:$AE$219,V$3,FALSE)</f>
        <v>43.79</v>
      </c>
      <c r="W8" s="32"/>
      <c r="X8" s="61">
        <f t="shared" si="15"/>
        <v>13.144946207417785</v>
      </c>
      <c r="Y8" s="61">
        <f t="shared" si="16"/>
        <v>-3.7196457702167325</v>
      </c>
      <c r="Z8" s="61">
        <f>(H8-L8)/L8</f>
        <v>154.18617021276597</v>
      </c>
      <c r="AA8" s="61">
        <f t="shared" si="18"/>
        <v>-12.019830028328611</v>
      </c>
      <c r="AB8" s="6"/>
      <c r="AC8" s="26"/>
      <c r="AD8" s="6"/>
      <c r="AE8" s="6"/>
      <c r="AF8" s="6"/>
      <c r="AG8" s="6"/>
      <c r="AH8" s="6"/>
      <c r="AI8" s="6"/>
      <c r="AJ8" s="6"/>
      <c r="AK8" s="6"/>
      <c r="AL8" s="6"/>
      <c r="AM8" s="6"/>
      <c r="AN8" s="6"/>
      <c r="AO8" s="6"/>
      <c r="AP8" s="6"/>
      <c r="AQ8" s="6"/>
      <c r="AR8" s="3" t="s">
        <v>62</v>
      </c>
      <c r="AS8">
        <f>Statistics!B111</f>
        <v>11</v>
      </c>
      <c r="AT8" s="6"/>
      <c r="AU8" s="6"/>
      <c r="AV8" s="6"/>
      <c r="AY8" s="70" t="s">
        <v>17</v>
      </c>
      <c r="BE8">
        <f t="shared" si="0"/>
        <v>-3.7196457702167325</v>
      </c>
      <c r="BF8">
        <f t="shared" si="1"/>
        <v>-1.2919047619047619</v>
      </c>
      <c r="BG8">
        <f t="shared" si="2"/>
        <v>1.7450980392156863</v>
      </c>
      <c r="BH8">
        <f t="shared" si="3"/>
        <v>70.210106382978736</v>
      </c>
      <c r="BI8">
        <f t="shared" si="4"/>
        <v>-1.2189228529839884</v>
      </c>
      <c r="BJ8">
        <f t="shared" si="5"/>
        <v>0.52666666666666673</v>
      </c>
      <c r="BK8">
        <f t="shared" si="6"/>
        <v>0.23626373626373631</v>
      </c>
      <c r="BL8">
        <f t="shared" si="7"/>
        <v>-0.80268863833477877</v>
      </c>
      <c r="BM8">
        <f t="shared" si="8"/>
        <v>-0.12898961284230415</v>
      </c>
      <c r="BN8">
        <f t="shared" si="9"/>
        <v>20.011904761904763</v>
      </c>
      <c r="BO8">
        <f t="shared" si="10"/>
        <v>-0.93951758070322811</v>
      </c>
      <c r="BP8">
        <f t="shared" si="11"/>
        <v>3.0549878345498782</v>
      </c>
      <c r="BQ8">
        <f t="shared" si="12"/>
        <v>0.14548494983277588</v>
      </c>
      <c r="BR8">
        <f t="shared" si="13"/>
        <v>-0.59031742406942223</v>
      </c>
      <c r="BS8" t="e">
        <f t="shared" si="14"/>
        <v>#DIV/0!</v>
      </c>
    </row>
    <row r="9" spans="1:71" ht="14" customHeight="1" x14ac:dyDescent="0.2">
      <c r="A9" s="3" t="s">
        <v>379</v>
      </c>
      <c r="B9" s="50">
        <f>Statistics!B21</f>
        <v>183.62</v>
      </c>
      <c r="C9" s="6"/>
      <c r="D9" s="50" t="s">
        <v>109</v>
      </c>
      <c r="E9" s="32"/>
      <c r="F9" s="51">
        <f>VLOOKUP(AY9,'12QData'!$A$5:$W$218,2,FALSE)</f>
        <v>-7571</v>
      </c>
      <c r="G9" s="55"/>
      <c r="H9" s="51">
        <f>VLOOKUP($D9,HData!$A$2:$AE$219,H$3,FALSE)</f>
        <v>-1853</v>
      </c>
      <c r="I9" s="51">
        <f>VLOOKUP($D9,HData!$A$2:$AE$219,I$3,FALSE)</f>
        <v>-115</v>
      </c>
      <c r="J9" s="51">
        <f>VLOOKUP($D9,HData!$A$2:$AE$219,J$3,FALSE)</f>
        <v>-1276</v>
      </c>
      <c r="K9" s="51">
        <f>VLOOKUP($D9,HData!$A$2:$AE$219,K$3,FALSE)</f>
        <v>-784.5</v>
      </c>
      <c r="L9" s="51">
        <f>VLOOKUP($D9,HData!$A$2:$AE$219,L$3,FALSE)</f>
        <v>-13.62</v>
      </c>
      <c r="M9" s="51">
        <f>VLOOKUP($D9,HData!$A$2:$AE$219,M$3,FALSE)</f>
        <v>-1</v>
      </c>
      <c r="N9" s="51">
        <f>VLOOKUP($D9,HData!$A$2:$AE$219,N$3,FALSE)</f>
        <v>3.98</v>
      </c>
      <c r="O9" s="51">
        <f>VLOOKUP($D9,HData!$A$2:$AE$219,O$3,FALSE)</f>
        <v>73.22</v>
      </c>
      <c r="P9" s="51">
        <f>VLOOKUP($D9,HData!$A$2:$AE$219,P$3,FALSE)</f>
        <v>109.5</v>
      </c>
      <c r="Q9" s="51">
        <f>VLOOKUP($D9,HData!$A$2:$AE$219,Q$3,FALSE)</f>
        <v>134</v>
      </c>
      <c r="R9" s="51">
        <f>VLOOKUP($D9,HData!$A$2:$AE$219,R$3,FALSE)</f>
        <v>5.0999999999999996</v>
      </c>
      <c r="S9" s="51">
        <f>VLOOKUP($D9,HData!$A$2:$AE$219,S$3,FALSE)</f>
        <v>19.440000000000001</v>
      </c>
      <c r="T9" s="51">
        <f>VLOOKUP($D9,HData!$A$2:$AE$219,T$3,FALSE)</f>
        <v>33.1</v>
      </c>
      <c r="U9" s="51">
        <f>VLOOKUP($D9,HData!$A$2:$AE$219,U$3,FALSE)</f>
        <v>20.87</v>
      </c>
      <c r="V9" s="51">
        <f>VLOOKUP($D9,HData!$A$2:$AE$219,V$3,FALSE)</f>
        <v>50.59</v>
      </c>
      <c r="W9" s="32"/>
      <c r="X9" s="61">
        <f t="shared" si="15"/>
        <v>16.809760303167444</v>
      </c>
      <c r="Y9" s="61">
        <f t="shared" si="16"/>
        <v>15.11304347826087</v>
      </c>
      <c r="Z9" s="61">
        <f t="shared" si="17"/>
        <v>135.04992657856096</v>
      </c>
      <c r="AA9" s="61">
        <f t="shared" si="18"/>
        <v>-14.828358208955224</v>
      </c>
      <c r="AB9" s="6"/>
      <c r="AC9" s="6"/>
      <c r="AD9" s="6"/>
      <c r="AE9" s="6"/>
      <c r="AF9" s="6"/>
      <c r="AG9" s="6"/>
      <c r="AH9" s="6"/>
      <c r="AI9" s="6"/>
      <c r="AJ9" s="6"/>
      <c r="AK9" s="6"/>
      <c r="AL9" s="6"/>
      <c r="AM9" s="6"/>
      <c r="AN9" s="6"/>
      <c r="AO9" s="6"/>
      <c r="AP9" s="6"/>
      <c r="AQ9" s="6"/>
      <c r="AR9" s="3" t="s">
        <v>63</v>
      </c>
      <c r="AS9" s="21" t="str">
        <f>Statistics!B112</f>
        <v>n/a</v>
      </c>
      <c r="AT9" s="6"/>
      <c r="AU9" s="6"/>
      <c r="AV9" s="6"/>
      <c r="AY9" s="70" t="s">
        <v>109</v>
      </c>
      <c r="BE9">
        <f t="shared" si="0"/>
        <v>15.11304347826087</v>
      </c>
      <c r="BF9">
        <f t="shared" si="1"/>
        <v>-0.90987460815047017</v>
      </c>
      <c r="BG9">
        <f t="shared" si="2"/>
        <v>0.62651370299553855</v>
      </c>
      <c r="BH9">
        <f t="shared" si="3"/>
        <v>56.59911894273128</v>
      </c>
      <c r="BI9">
        <f t="shared" si="4"/>
        <v>12.62</v>
      </c>
      <c r="BJ9">
        <f t="shared" si="5"/>
        <v>-1.2512562814070354</v>
      </c>
      <c r="BK9">
        <f t="shared" si="6"/>
        <v>-0.9456432668669762</v>
      </c>
      <c r="BL9">
        <f t="shared" si="7"/>
        <v>-0.331324200913242</v>
      </c>
      <c r="BM9">
        <f t="shared" si="8"/>
        <v>-0.18283582089552239</v>
      </c>
      <c r="BN9">
        <f t="shared" si="9"/>
        <v>25.274509803921571</v>
      </c>
      <c r="BO9">
        <f t="shared" si="10"/>
        <v>-0.73765432098765438</v>
      </c>
      <c r="BP9">
        <f t="shared" si="11"/>
        <v>-0.41268882175226584</v>
      </c>
      <c r="BQ9">
        <f t="shared" si="12"/>
        <v>0.58600862482031624</v>
      </c>
      <c r="BR9">
        <f t="shared" si="13"/>
        <v>-0.58746787902747577</v>
      </c>
      <c r="BS9" t="e">
        <f t="shared" si="14"/>
        <v>#DIV/0!</v>
      </c>
    </row>
    <row r="10" spans="1:71" ht="14" customHeight="1" x14ac:dyDescent="0.2">
      <c r="A10" s="3" t="s">
        <v>49</v>
      </c>
      <c r="B10" s="50">
        <f>Statistics!B22</f>
        <v>236.59</v>
      </c>
      <c r="C10" s="6"/>
      <c r="D10" s="50" t="s">
        <v>2</v>
      </c>
      <c r="E10" s="32"/>
      <c r="F10" s="51">
        <f>VLOOKUP(AY10,'12QData'!$A$5:$W$218,2,FALSE)</f>
        <v>-7562</v>
      </c>
      <c r="G10" s="55"/>
      <c r="H10" s="51">
        <f>VLOOKUP($D10,HData!$A$2:$AE$219,H$3,FALSE)</f>
        <v>-1835</v>
      </c>
      <c r="I10" s="51">
        <f>VLOOKUP($D10,HData!$A$2:$AE$219,I$3,FALSE)</f>
        <v>-100.5</v>
      </c>
      <c r="J10" s="51">
        <f>VLOOKUP($D10,HData!$A$2:$AE$219,J$3,FALSE)</f>
        <v>-1265</v>
      </c>
      <c r="K10" s="51">
        <f>VLOOKUP($D10,HData!$A$2:$AE$219,K$3,FALSE)</f>
        <v>-773.2</v>
      </c>
      <c r="L10" s="51">
        <f>VLOOKUP($D10,HData!$A$2:$AE$219,L$3,FALSE)</f>
        <v>-0.29299999999999998</v>
      </c>
      <c r="M10" s="51">
        <f>VLOOKUP($D10,HData!$A$2:$AE$219,M$3,FALSE)</f>
        <v>7.59</v>
      </c>
      <c r="N10" s="51">
        <f>VLOOKUP($D10,HData!$A$2:$AE$219,N$3,FALSE)</f>
        <v>7.68</v>
      </c>
      <c r="O10" s="51">
        <f>VLOOKUP($D10,HData!$A$2:$AE$219,O$3,FALSE)</f>
        <v>88.75</v>
      </c>
      <c r="P10" s="51">
        <f>VLOOKUP($D10,HData!$A$2:$AE$219,P$3,FALSE)</f>
        <v>129.5</v>
      </c>
      <c r="Q10" s="51">
        <f>VLOOKUP($D10,HData!$A$2:$AE$219,Q$3,FALSE)</f>
        <v>155.19999999999999</v>
      </c>
      <c r="R10" s="51">
        <f>VLOOKUP($D10,HData!$A$2:$AE$219,R$3,FALSE)</f>
        <v>30.4</v>
      </c>
      <c r="S10" s="51">
        <f>VLOOKUP($D10,HData!$A$2:$AE$219,S$3,FALSE)</f>
        <v>45.84</v>
      </c>
      <c r="T10" s="51">
        <f>VLOOKUP($D10,HData!$A$2:$AE$219,T$3,FALSE)</f>
        <v>55.55</v>
      </c>
      <c r="U10" s="51">
        <f>VLOOKUP($D10,HData!$A$2:$AE$219,U$3,FALSE)</f>
        <v>38.14</v>
      </c>
      <c r="V10" s="51">
        <f>VLOOKUP($D10,HData!$A$2:$AE$219,V$3,FALSE)</f>
        <v>63.39</v>
      </c>
      <c r="W10" s="32"/>
      <c r="X10" s="61">
        <f t="shared" si="15"/>
        <v>530.76869149055892</v>
      </c>
      <c r="Y10" s="61">
        <f t="shared" si="16"/>
        <v>17.258706467661693</v>
      </c>
      <c r="Z10" s="61">
        <f t="shared" si="17"/>
        <v>6261.7986348122877</v>
      </c>
      <c r="AA10" s="61">
        <f t="shared" si="18"/>
        <v>-12.823453608247425</v>
      </c>
      <c r="AB10" s="6"/>
      <c r="AC10" s="6"/>
      <c r="AD10" s="6"/>
      <c r="AE10" s="6"/>
      <c r="AF10" s="6"/>
      <c r="AG10" s="6"/>
      <c r="AH10" s="6"/>
      <c r="AI10" s="6"/>
      <c r="AJ10" s="6"/>
      <c r="AK10" s="6"/>
      <c r="AL10" s="6"/>
      <c r="AM10" s="6"/>
      <c r="AN10" s="6"/>
      <c r="AO10" s="6"/>
      <c r="AP10" s="6"/>
      <c r="AQ10" s="6"/>
      <c r="AR10" s="3" t="s">
        <v>64</v>
      </c>
      <c r="AS10" s="21" t="str">
        <f>Statistics!B113</f>
        <v>n/a</v>
      </c>
      <c r="AT10" s="6"/>
      <c r="AU10" s="6"/>
      <c r="AV10" s="6"/>
      <c r="AY10" s="70" t="s">
        <v>2</v>
      </c>
      <c r="BE10">
        <f t="shared" si="0"/>
        <v>17.258706467661693</v>
      </c>
      <c r="BF10">
        <f t="shared" si="1"/>
        <v>-0.92055335968379448</v>
      </c>
      <c r="BG10">
        <f t="shared" si="2"/>
        <v>0.63605794102431445</v>
      </c>
      <c r="BH10">
        <f t="shared" si="3"/>
        <v>2637.907849829352</v>
      </c>
      <c r="BI10">
        <f t="shared" si="4"/>
        <v>-1.0386034255599472</v>
      </c>
      <c r="BJ10">
        <f t="shared" si="5"/>
        <v>-1.1718749999999983E-2</v>
      </c>
      <c r="BK10">
        <f t="shared" si="6"/>
        <v>-0.91346478873239434</v>
      </c>
      <c r="BL10">
        <f t="shared" si="7"/>
        <v>-0.31467181467181465</v>
      </c>
      <c r="BM10">
        <f t="shared" si="8"/>
        <v>-0.16559278350515458</v>
      </c>
      <c r="BN10">
        <f t="shared" si="9"/>
        <v>4.1052631578947363</v>
      </c>
      <c r="BO10">
        <f t="shared" si="10"/>
        <v>-0.33682373472949395</v>
      </c>
      <c r="BP10">
        <f t="shared" si="11"/>
        <v>-0.17479747974797469</v>
      </c>
      <c r="BQ10">
        <f t="shared" si="12"/>
        <v>0.45647614053487146</v>
      </c>
      <c r="BR10">
        <f t="shared" si="13"/>
        <v>-0.39832781195772204</v>
      </c>
      <c r="BS10" t="e">
        <f t="shared" si="14"/>
        <v>#DIV/0!</v>
      </c>
    </row>
    <row r="11" spans="1:71" ht="14" customHeight="1" x14ac:dyDescent="0.2">
      <c r="A11" s="3" t="s">
        <v>380</v>
      </c>
      <c r="B11" s="50">
        <f>Statistics!B23</f>
        <v>3.26</v>
      </c>
      <c r="C11" s="6"/>
      <c r="D11" s="50" t="s">
        <v>336</v>
      </c>
      <c r="E11" s="32"/>
      <c r="F11" s="58">
        <f>VLOOKUP(AY11,'12QData'!$A$5:$W$218,2,FALSE)</f>
        <v>0.70950000000000002</v>
      </c>
      <c r="G11" s="59"/>
      <c r="H11" s="58">
        <f>VLOOKUP($D11,HData!$A$2:$AE$219,H$3,FALSE)</f>
        <v>0.72060000000000002</v>
      </c>
      <c r="I11" s="58">
        <f>VLOOKUP($D11,HData!$A$2:$AE$219,I$3,FALSE)</f>
        <v>0.77849999999999997</v>
      </c>
      <c r="J11" s="58">
        <f>VLOOKUP($D11,HData!$A$2:$AE$219,J$3,FALSE)</f>
        <v>0.79369999999999996</v>
      </c>
      <c r="K11" s="58">
        <f>VLOOKUP($D11,HData!$A$2:$AE$219,K$3,FALSE)</f>
        <v>0.82010000000000005</v>
      </c>
      <c r="L11" s="58">
        <f>VLOOKUP($D11,HData!$A$2:$AE$219,L$3,FALSE)</f>
        <v>0.81059999999999999</v>
      </c>
      <c r="M11" s="58">
        <f>VLOOKUP($D11,HData!$A$2:$AE$219,M$3,FALSE)</f>
        <v>0.7944</v>
      </c>
      <c r="N11" s="58">
        <f>VLOOKUP($D11,HData!$A$2:$AE$219,N$3,FALSE)</f>
        <v>0.80010000000000003</v>
      </c>
      <c r="O11" s="58">
        <f>VLOOKUP($D11,HData!$A$2:$AE$219,O$3,FALSE)</f>
        <v>0.80820000000000003</v>
      </c>
      <c r="P11" s="58">
        <f>VLOOKUP($D11,HData!$A$2:$AE$219,P$3,FALSE)</f>
        <v>0.81859999999999999</v>
      </c>
      <c r="Q11" s="58">
        <f>VLOOKUP($D11,HData!$A$2:$AE$219,Q$3,FALSE)</f>
        <v>0.80920000000000003</v>
      </c>
      <c r="R11" s="58">
        <f>VLOOKUP($D11,HData!$A$2:$AE$219,R$3,FALSE)</f>
        <v>0.76680000000000004</v>
      </c>
      <c r="S11" s="58">
        <f>VLOOKUP($D11,HData!$A$2:$AE$219,S$3,FALSE)</f>
        <v>0.75939999999999996</v>
      </c>
      <c r="T11" s="58">
        <f>VLOOKUP($D11,HData!$A$2:$AE$219,T$3,FALSE)</f>
        <v>0.75060000000000004</v>
      </c>
      <c r="U11" s="58">
        <f>VLOOKUP($D11,HData!$A$2:$AE$219,U$3,FALSE)</f>
        <v>0.75670000000000004</v>
      </c>
      <c r="V11" s="58">
        <f>VLOOKUP($D11,HData!$A$2:$AE$219,V$3,FALSE)</f>
        <v>0.76659999999999995</v>
      </c>
      <c r="W11" s="32"/>
      <c r="X11" s="61">
        <f t="shared" si="15"/>
        <v>-1.8720668313862994E-2</v>
      </c>
      <c r="Y11" s="61">
        <f t="shared" si="16"/>
        <v>-7.4373795761078942E-2</v>
      </c>
      <c r="Z11" s="61">
        <f t="shared" si="17"/>
        <v>-0.11102886750555141</v>
      </c>
      <c r="AA11" s="61">
        <f t="shared" si="18"/>
        <v>-0.10949085516559566</v>
      </c>
      <c r="AB11" s="6"/>
      <c r="AC11" s="6"/>
      <c r="AD11" s="6"/>
      <c r="AE11" s="6"/>
      <c r="AF11" s="6"/>
      <c r="AG11" s="6"/>
      <c r="AH11" s="6"/>
      <c r="AI11" s="6"/>
      <c r="AJ11" s="6"/>
      <c r="AK11" s="6"/>
      <c r="AL11" s="6"/>
      <c r="AM11" s="6"/>
      <c r="AN11" s="6"/>
      <c r="AO11" s="6"/>
      <c r="AP11" s="6"/>
      <c r="AQ11" s="6"/>
      <c r="AR11" s="22"/>
      <c r="AS11" s="23"/>
      <c r="AT11" s="6"/>
      <c r="AU11" s="6"/>
      <c r="AV11" s="6"/>
      <c r="AY11" s="70" t="s">
        <v>36</v>
      </c>
      <c r="BE11">
        <f t="shared" si="0"/>
        <v>-7.4373795761078942E-2</v>
      </c>
      <c r="BF11">
        <f t="shared" si="1"/>
        <v>-1.9150812649615715E-2</v>
      </c>
      <c r="BG11">
        <f t="shared" si="2"/>
        <v>-3.2191196195586011E-2</v>
      </c>
      <c r="BH11">
        <f t="shared" si="3"/>
        <v>1.1719713792252732E-2</v>
      </c>
      <c r="BI11">
        <f t="shared" si="4"/>
        <v>2.0392749244712981E-2</v>
      </c>
      <c r="BJ11">
        <f t="shared" si="5"/>
        <v>-7.124109486314258E-3</v>
      </c>
      <c r="BK11">
        <f t="shared" si="6"/>
        <v>-1.0022271714922044E-2</v>
      </c>
      <c r="BL11">
        <f t="shared" si="7"/>
        <v>-1.2704617639872911E-2</v>
      </c>
      <c r="BM11">
        <f t="shared" si="8"/>
        <v>1.1616411270390464E-2</v>
      </c>
      <c r="BN11">
        <f t="shared" si="9"/>
        <v>5.5294731351069368E-2</v>
      </c>
      <c r="BO11">
        <f t="shared" si="10"/>
        <v>9.7445351593364142E-3</v>
      </c>
      <c r="BP11">
        <f t="shared" si="11"/>
        <v>1.1723954169997226E-2</v>
      </c>
      <c r="BQ11">
        <f t="shared" si="12"/>
        <v>-8.0613188846306253E-3</v>
      </c>
      <c r="BR11">
        <f t="shared" si="13"/>
        <v>-1.2914166449256338E-2</v>
      </c>
      <c r="BS11" t="e">
        <f t="shared" si="14"/>
        <v>#DIV/0!</v>
      </c>
    </row>
    <row r="12" spans="1:71" ht="14" customHeight="1" x14ac:dyDescent="0.2">
      <c r="A12" s="3" t="s">
        <v>381</v>
      </c>
      <c r="B12" s="50" t="str">
        <f>Statistics!B25</f>
        <v>n/a</v>
      </c>
      <c r="C12" s="6"/>
      <c r="D12" s="50" t="s">
        <v>337</v>
      </c>
      <c r="E12" s="32"/>
      <c r="F12" s="58">
        <f>VLOOKUP(AY13,'12QData'!$A$5:$W$218,2,FALSE)</f>
        <v>-16.484000000000002</v>
      </c>
      <c r="G12" s="59"/>
      <c r="H12" s="58">
        <f>VLOOKUP($D12,HData!$A$2:$AE$219,H$3,FALSE)</f>
        <v>-3.9980000000000002</v>
      </c>
      <c r="I12" s="58">
        <f>VLOOKUP($D12,HData!$A$2:$AE$219,I$3,FALSE)</f>
        <v>-0.23180000000000001</v>
      </c>
      <c r="J12" s="58">
        <f>VLOOKUP($D12,HData!$A$2:$AE$219,J$3,FALSE)</f>
        <v>-2.5550000000000002</v>
      </c>
      <c r="K12" s="58">
        <f>VLOOKUP($D12,HData!$A$2:$AE$219,K$3,FALSE)</f>
        <v>-1.536</v>
      </c>
      <c r="L12" s="58">
        <f>VLOOKUP($D12,HData!$A$2:$AE$219,L$3,FALSE)</f>
        <v>-2.8299999999999999E-2</v>
      </c>
      <c r="M12" s="58">
        <f>VLOOKUP($D12,HData!$A$2:$AE$219,M$3,FALSE)</f>
        <v>-2.0600000000000002E-3</v>
      </c>
      <c r="N12" s="58">
        <f>VLOOKUP($D12,HData!$A$2:$AE$219,N$3,FALSE)</f>
        <v>8.0000000000000002E-3</v>
      </c>
      <c r="O12" s="58">
        <f>VLOOKUP($D12,HData!$A$2:$AE$219,O$3,FALSE)</f>
        <v>0.14530000000000001</v>
      </c>
      <c r="P12" s="58">
        <f>VLOOKUP($D12,HData!$A$2:$AE$219,P$3,FALSE)</f>
        <v>0.2132</v>
      </c>
      <c r="Q12" s="58">
        <f>VLOOKUP($D12,HData!$A$2:$AE$219,Q$3,FALSE)</f>
        <v>0.25290000000000001</v>
      </c>
      <c r="R12" s="58">
        <f>VLOOKUP($D12,HData!$A$2:$AE$219,R$3,FALSE)</f>
        <v>8.8000000000000005E-3</v>
      </c>
      <c r="S12" s="58">
        <f>VLOOKUP($D12,HData!$A$2:$AE$219,S$3,FALSE)</f>
        <v>3.3799999999999997E-2</v>
      </c>
      <c r="T12" s="58">
        <f>VLOOKUP($D12,HData!$A$2:$AE$219,T$3,FALSE)</f>
        <v>5.8500000000000003E-2</v>
      </c>
      <c r="U12" s="58">
        <f>VLOOKUP($D12,HData!$A$2:$AE$219,U$3,FALSE)</f>
        <v>3.8800000000000001E-2</v>
      </c>
      <c r="V12" s="58">
        <f>VLOOKUP($D12,HData!$A$2:$AE$219,V$3,FALSE)</f>
        <v>0.1113</v>
      </c>
      <c r="W12" s="32"/>
      <c r="X12" s="61">
        <f t="shared" si="15"/>
        <v>16.403049049179032</v>
      </c>
      <c r="Y12" s="61">
        <f t="shared" si="16"/>
        <v>16.247627264883523</v>
      </c>
      <c r="Z12" s="61">
        <f t="shared" si="17"/>
        <v>140.27208480565372</v>
      </c>
      <c r="AA12" s="61">
        <f t="shared" si="18"/>
        <v>-16.808620007908264</v>
      </c>
      <c r="AB12" s="6"/>
      <c r="AC12" s="6"/>
      <c r="AD12" s="6"/>
      <c r="AE12" s="6"/>
      <c r="AF12" s="6"/>
      <c r="AG12" s="6"/>
      <c r="AH12" s="6"/>
      <c r="AI12" s="6"/>
      <c r="AJ12" s="6"/>
      <c r="AK12" s="6"/>
      <c r="AL12" s="6"/>
      <c r="AM12" s="6"/>
      <c r="AN12" s="6"/>
      <c r="AO12" s="6"/>
      <c r="AP12" s="6"/>
      <c r="AQ12" s="6"/>
      <c r="AR12" s="3" t="s">
        <v>75</v>
      </c>
      <c r="AS12" s="21" t="s">
        <v>76</v>
      </c>
      <c r="AT12" t="s">
        <v>98</v>
      </c>
      <c r="AU12" t="s">
        <v>99</v>
      </c>
      <c r="AV12" t="s">
        <v>79</v>
      </c>
      <c r="AY12" s="70" t="s">
        <v>38</v>
      </c>
      <c r="BE12">
        <f t="shared" si="0"/>
        <v>16.247627264883523</v>
      </c>
      <c r="BF12">
        <f t="shared" si="1"/>
        <v>-0.90927592954990211</v>
      </c>
      <c r="BG12">
        <f t="shared" si="2"/>
        <v>0.66341145833333337</v>
      </c>
      <c r="BH12">
        <f t="shared" si="3"/>
        <v>53.275618374558306</v>
      </c>
      <c r="BI12">
        <f t="shared" si="4"/>
        <v>12.737864077669901</v>
      </c>
      <c r="BJ12">
        <f t="shared" si="5"/>
        <v>-1.2574999999999998</v>
      </c>
      <c r="BK12">
        <f t="shared" si="6"/>
        <v>-0.94494150034411561</v>
      </c>
      <c r="BL12">
        <f t="shared" si="7"/>
        <v>-0.31848030018761719</v>
      </c>
      <c r="BM12">
        <f t="shared" si="8"/>
        <v>-0.15697904310003957</v>
      </c>
      <c r="BN12">
        <f t="shared" si="9"/>
        <v>27.738636363636363</v>
      </c>
      <c r="BO12">
        <f t="shared" si="10"/>
        <v>-0.73964497041420108</v>
      </c>
      <c r="BP12">
        <f t="shared" si="11"/>
        <v>-0.42222222222222233</v>
      </c>
      <c r="BQ12">
        <f t="shared" si="12"/>
        <v>0.50773195876288668</v>
      </c>
      <c r="BR12">
        <f t="shared" si="13"/>
        <v>-0.65139263252470803</v>
      </c>
      <c r="BS12" t="e">
        <f t="shared" si="14"/>
        <v>#DIV/0!</v>
      </c>
    </row>
    <row r="13" spans="1:71" ht="14" customHeight="1" x14ac:dyDescent="0.2">
      <c r="A13" s="3" t="s">
        <v>382</v>
      </c>
      <c r="B13" s="50" t="str">
        <f>Statistics!B26</f>
        <v>n/a</v>
      </c>
      <c r="C13" s="6"/>
      <c r="D13" s="42" t="s">
        <v>339</v>
      </c>
      <c r="E13" s="32"/>
      <c r="F13" s="58">
        <f>F8/F6</f>
        <v>-11.607298380073159</v>
      </c>
      <c r="G13" s="59"/>
      <c r="H13" s="58">
        <f>VLOOKUP($D13,HData!$A$2:$AE$219,H$3,FALSE)</f>
        <v>-2.5169999999999999</v>
      </c>
      <c r="I13" s="58">
        <f>VLOOKUP($D13,HData!$A$2:$AE$219,I$3,FALSE)</f>
        <v>0.86470000000000002</v>
      </c>
      <c r="J13" s="58">
        <f>VLOOKUP($D13,HData!$A$2:$AE$219,J$3,FALSE)</f>
        <v>-2.944</v>
      </c>
      <c r="K13" s="58">
        <f>VLOOKUP($D13,HData!$A$2:$AE$219,K$3,FALSE)</f>
        <v>-1.048</v>
      </c>
      <c r="L13" s="58">
        <f>VLOOKUP($D13,HData!$A$2:$AE$219,L$3,FALSE)</f>
        <v>-1.5699999999999999E-2</v>
      </c>
      <c r="M13" s="58">
        <f>VLOOKUP($D13,HData!$A$2:$AE$219,M$3,FALSE)</f>
        <v>7.0599999999999996E-2</v>
      </c>
      <c r="N13" s="58">
        <f>VLOOKUP($D13,HData!$A$2:$AE$219,N$3,FALSE)</f>
        <v>4.5199999999999997E-2</v>
      </c>
      <c r="O13" s="58">
        <f>VLOOKUP($D13,HData!$A$2:$AE$219,O$3,FALSE)</f>
        <v>3.61E-2</v>
      </c>
      <c r="P13" s="58">
        <f>VLOOKUP($D13,HData!$A$2:$AE$219,P$3,FALSE)</f>
        <v>0.17960000000000001</v>
      </c>
      <c r="Q13" s="58">
        <f>VLOOKUP($D13,HData!$A$2:$AE$219,Q$3,FALSE)</f>
        <v>0.19989999999999999</v>
      </c>
      <c r="R13" s="58">
        <f>VLOOKUP($D13,HData!$A$2:$AE$219,R$3,FALSE)</f>
        <v>8.6800000000000002E-3</v>
      </c>
      <c r="S13" s="58">
        <f>VLOOKUP($D13,HData!$A$2:$AE$219,S$3,FALSE)</f>
        <v>0.1447</v>
      </c>
      <c r="T13" s="58">
        <f>VLOOKUP($D13,HData!$A$2:$AE$219,T$3,FALSE)</f>
        <v>3.6299999999999999E-2</v>
      </c>
      <c r="U13" s="58">
        <f>VLOOKUP($D13,HData!$A$2:$AE$219,U$3,FALSE)</f>
        <v>3.3399999999999999E-2</v>
      </c>
      <c r="V13" s="58">
        <f>VLOOKUP($D13,HData!$A$2:$AE$219,V$3,FALSE)</f>
        <v>9.6299999999999997E-2</v>
      </c>
      <c r="W13" s="32"/>
      <c r="X13" s="61">
        <f t="shared" si="15"/>
        <v>12.226764179577273</v>
      </c>
      <c r="Y13" s="61">
        <f t="shared" si="16"/>
        <v>-3.9108361281369257</v>
      </c>
      <c r="Z13" s="61">
        <f t="shared" si="17"/>
        <v>159.31847133757964</v>
      </c>
      <c r="AA13" s="61">
        <f t="shared" si="18"/>
        <v>-13.591295647823912</v>
      </c>
      <c r="AB13" s="6"/>
      <c r="AC13" s="6"/>
      <c r="AD13" s="6"/>
      <c r="AE13" s="6"/>
      <c r="AF13" s="6"/>
      <c r="AG13" s="6"/>
      <c r="AH13" s="6"/>
      <c r="AI13" s="6"/>
      <c r="AJ13" s="6"/>
      <c r="AK13" s="6"/>
      <c r="AL13" s="6"/>
      <c r="AM13" s="6"/>
      <c r="AN13" s="6"/>
      <c r="AO13" s="6"/>
      <c r="AP13" s="6"/>
      <c r="AQ13" s="6"/>
      <c r="AR13" s="3" t="s">
        <v>80</v>
      </c>
      <c r="AS13" s="21">
        <f>Statistics!E6</f>
        <v>57</v>
      </c>
      <c r="AT13" s="21">
        <f>Statistics!F6</f>
        <v>469.27</v>
      </c>
      <c r="AU13" s="21">
        <f>Statistics!G6</f>
        <v>515</v>
      </c>
      <c r="AV13" s="21">
        <f>Statistics!H6</f>
        <v>680</v>
      </c>
      <c r="AY13" s="70" t="s">
        <v>37</v>
      </c>
      <c r="BE13">
        <f t="shared" si="0"/>
        <v>-3.9108361281369257</v>
      </c>
      <c r="BF13">
        <f t="shared" si="1"/>
        <v>-1.2937160326086956</v>
      </c>
      <c r="BG13">
        <f t="shared" si="2"/>
        <v>1.8091603053435112</v>
      </c>
      <c r="BH13">
        <f t="shared" si="3"/>
        <v>65.751592356687908</v>
      </c>
      <c r="BI13">
        <f t="shared" si="4"/>
        <v>-1.2223796033994334</v>
      </c>
      <c r="BJ13">
        <f t="shared" si="5"/>
        <v>0.56194690265486724</v>
      </c>
      <c r="BK13">
        <f t="shared" si="6"/>
        <v>0.25207756232686973</v>
      </c>
      <c r="BL13">
        <f t="shared" si="7"/>
        <v>-0.79899777282850781</v>
      </c>
      <c r="BM13">
        <f t="shared" si="8"/>
        <v>-0.10155077538769378</v>
      </c>
      <c r="BN13">
        <f t="shared" si="9"/>
        <v>22.02995391705069</v>
      </c>
      <c r="BO13">
        <f t="shared" si="10"/>
        <v>-0.9400138217000692</v>
      </c>
      <c r="BP13">
        <f t="shared" si="11"/>
        <v>2.9862258953168044</v>
      </c>
      <c r="BQ13">
        <f t="shared" si="12"/>
        <v>8.6826347305389212E-2</v>
      </c>
      <c r="BR13">
        <f t="shared" si="13"/>
        <v>-0.65316718587746625</v>
      </c>
      <c r="BS13" t="e">
        <f t="shared" si="14"/>
        <v>#DIV/0!</v>
      </c>
    </row>
    <row r="14" spans="1:71" x14ac:dyDescent="0.2">
      <c r="A14" s="3" t="s">
        <v>383</v>
      </c>
      <c r="B14" s="50" t="str">
        <f>Statistics!B27</f>
        <v>n/a</v>
      </c>
      <c r="C14" s="6"/>
      <c r="D14" s="42" t="s">
        <v>219</v>
      </c>
      <c r="E14" s="32"/>
      <c r="F14" s="51">
        <f>VLOOKUP(AY14,'12QData'!$A$5:$W$218,2,FALSE)</f>
        <v>113.73</v>
      </c>
      <c r="G14" s="55"/>
      <c r="H14" s="51">
        <f>VLOOKUP($D14,HData!$A$2:$AE$219,H$3,FALSE)</f>
        <v>118.5</v>
      </c>
      <c r="I14" s="51">
        <f>VLOOKUP($D14,HData!$A$2:$AE$219,I$3,FALSE)</f>
        <v>120.5</v>
      </c>
      <c r="J14" s="51">
        <f>VLOOKUP($D14,HData!$A$2:$AE$219,J$3,FALSE)</f>
        <v>127.4</v>
      </c>
      <c r="K14" s="51">
        <f>VLOOKUP($D14,HData!$A$2:$AE$219,K$3,FALSE)</f>
        <v>117.1</v>
      </c>
      <c r="L14" s="51">
        <f>VLOOKUP($D14,HData!$A$2:$AE$219,L$3,FALSE)</f>
        <v>103.6</v>
      </c>
      <c r="M14" s="51">
        <f>VLOOKUP($D14,HData!$A$2:$AE$219,M$3,FALSE)</f>
        <v>109.4</v>
      </c>
      <c r="N14" s="51">
        <f>VLOOKUP($D14,HData!$A$2:$AE$219,N$3,FALSE)</f>
        <v>102.5</v>
      </c>
      <c r="O14" s="51">
        <f>VLOOKUP($D14,HData!$A$2:$AE$219,O$3,FALSE)</f>
        <v>78.77</v>
      </c>
      <c r="P14" s="51">
        <f>VLOOKUP($D14,HData!$A$2:$AE$219,P$3,FALSE)</f>
        <v>73.14</v>
      </c>
      <c r="Q14" s="51">
        <f>VLOOKUP($D14,HData!$A$2:$AE$219,Q$3,FALSE)</f>
        <v>65.209999999999994</v>
      </c>
      <c r="R14" s="51">
        <f>VLOOKUP($D14,HData!$A$2:$AE$219,R$3,FALSE)</f>
        <v>103.4</v>
      </c>
      <c r="S14" s="51">
        <f>VLOOKUP($D14,HData!$A$2:$AE$219,S$3,FALSE)</f>
        <v>98.06</v>
      </c>
      <c r="T14" s="51">
        <f>VLOOKUP($D14,HData!$A$2:$AE$219,T$3,FALSE)</f>
        <v>88.19</v>
      </c>
      <c r="U14" s="51">
        <f>VLOOKUP($D14,HData!$A$2:$AE$219,U$3,FALSE)</f>
        <v>67.86</v>
      </c>
      <c r="V14" s="51">
        <f>VLOOKUP($D14,HData!$A$2:$AE$219,V$3,FALSE)</f>
        <v>50.57</v>
      </c>
      <c r="W14" s="33"/>
      <c r="X14" s="61">
        <f t="shared" si="15"/>
        <v>1.8898760071667159E-2</v>
      </c>
      <c r="Y14" s="61">
        <f t="shared" si="16"/>
        <v>-1.6597510373443983E-2</v>
      </c>
      <c r="Z14" s="61">
        <f t="shared" si="17"/>
        <v>0.1438223938223939</v>
      </c>
      <c r="AA14" s="61">
        <f t="shared" si="18"/>
        <v>0.81720595000766771</v>
      </c>
      <c r="AB14" s="6"/>
      <c r="AC14" s="6"/>
      <c r="AD14" s="6"/>
      <c r="AE14" s="6"/>
      <c r="AF14" s="6"/>
      <c r="AG14" s="6"/>
      <c r="AH14" s="6"/>
      <c r="AI14" s="6"/>
      <c r="AJ14" s="6"/>
      <c r="AK14" s="6"/>
      <c r="AL14" s="6"/>
      <c r="AM14" s="6"/>
      <c r="AN14" s="6"/>
      <c r="AO14" s="6"/>
      <c r="AP14" s="6"/>
      <c r="AQ14" s="6"/>
      <c r="AR14" s="3" t="s">
        <v>81</v>
      </c>
      <c r="AS14" s="13">
        <f>Statistics!E7</f>
        <v>-0.85570000000000002</v>
      </c>
      <c r="AT14" s="13">
        <f>Statistics!F7</f>
        <v>0.18790000000000001</v>
      </c>
      <c r="AU14" s="13">
        <f>Statistics!G7</f>
        <v>0.30370000000000003</v>
      </c>
      <c r="AV14" s="13">
        <f>Statistics!H7</f>
        <v>0.72130000000000005</v>
      </c>
      <c r="AY14" s="68" t="s">
        <v>219</v>
      </c>
      <c r="BE14">
        <f t="shared" si="0"/>
        <v>-1.6597510373443983E-2</v>
      </c>
      <c r="BF14">
        <f t="shared" si="1"/>
        <v>-5.416012558869706E-2</v>
      </c>
      <c r="BG14">
        <f t="shared" si="2"/>
        <v>8.7959009393680718E-2</v>
      </c>
      <c r="BH14">
        <f t="shared" si="3"/>
        <v>0.13030888030888033</v>
      </c>
      <c r="BI14">
        <f t="shared" si="4"/>
        <v>-5.3016453382084196E-2</v>
      </c>
      <c r="BJ14">
        <f t="shared" si="5"/>
        <v>6.7317073170731767E-2</v>
      </c>
      <c r="BK14">
        <f t="shared" si="6"/>
        <v>0.3012568236638315</v>
      </c>
      <c r="BL14">
        <f t="shared" si="7"/>
        <v>7.6975663111840245E-2</v>
      </c>
      <c r="BM14">
        <f t="shared" si="8"/>
        <v>0.12160711547308707</v>
      </c>
      <c r="BN14">
        <f t="shared" si="9"/>
        <v>-0.36934235976789176</v>
      </c>
      <c r="BO14">
        <f t="shared" si="10"/>
        <v>5.4456455231490959E-2</v>
      </c>
      <c r="BP14">
        <f t="shared" si="11"/>
        <v>0.11191745095815858</v>
      </c>
      <c r="BQ14">
        <f t="shared" si="12"/>
        <v>0.29958738579428235</v>
      </c>
      <c r="BR14">
        <f t="shared" si="13"/>
        <v>0.34190231362467866</v>
      </c>
      <c r="BS14" t="e">
        <f t="shared" si="14"/>
        <v>#DIV/0!</v>
      </c>
    </row>
    <row r="15" spans="1:71" ht="14" customHeight="1" x14ac:dyDescent="0.2">
      <c r="A15" s="3" t="s">
        <v>50</v>
      </c>
      <c r="B15" s="50" t="str">
        <f>Statistics!B29</f>
        <v>n/a</v>
      </c>
      <c r="C15" s="6"/>
      <c r="D15" s="53" t="s">
        <v>4</v>
      </c>
      <c r="E15" s="14"/>
      <c r="F15" s="55"/>
      <c r="G15" s="56"/>
      <c r="H15" s="55"/>
      <c r="I15" s="55"/>
      <c r="J15" s="55"/>
      <c r="K15" s="55"/>
      <c r="L15" s="55"/>
      <c r="M15" s="55"/>
      <c r="N15" s="55"/>
      <c r="O15" s="55"/>
      <c r="P15" s="55"/>
      <c r="Q15" s="55"/>
      <c r="R15" s="55"/>
      <c r="S15" s="55"/>
      <c r="T15" s="55"/>
      <c r="U15" s="55"/>
      <c r="V15" s="55"/>
      <c r="W15" s="33"/>
      <c r="X15" s="66"/>
      <c r="Y15" s="66"/>
      <c r="Z15" s="66"/>
      <c r="AA15" s="66"/>
      <c r="AB15" s="6"/>
      <c r="AC15" s="6"/>
      <c r="AD15" s="6"/>
      <c r="AE15" s="6"/>
      <c r="AF15" s="6"/>
      <c r="AG15" s="6"/>
      <c r="AH15" s="6"/>
      <c r="AI15" s="6"/>
      <c r="AJ15" s="6"/>
      <c r="AK15" s="6"/>
      <c r="AL15" s="6"/>
      <c r="AM15" s="6"/>
      <c r="AN15" s="6"/>
      <c r="AO15" s="6"/>
      <c r="AP15" s="6"/>
      <c r="AQ15" s="6"/>
      <c r="AR15" s="6"/>
      <c r="AS15" s="23"/>
      <c r="AT15" s="23"/>
      <c r="AU15" s="23"/>
      <c r="AV15" s="23"/>
      <c r="AY15" s="10" t="s">
        <v>4</v>
      </c>
    </row>
    <row r="16" spans="1:71" ht="14" customHeight="1" x14ac:dyDescent="0.2">
      <c r="A16" s="3" t="s">
        <v>51</v>
      </c>
      <c r="B16" s="50">
        <f>Statistics!B30</f>
        <v>261.23</v>
      </c>
      <c r="C16" s="6"/>
      <c r="D16" s="51" t="s">
        <v>11</v>
      </c>
      <c r="E16" s="47"/>
      <c r="F16" s="51">
        <f>VLOOKUP(AY16,'12QData'!$A$5:$W$218,2,FALSE)</f>
        <v>60.3</v>
      </c>
      <c r="G16" s="55"/>
      <c r="H16" s="51">
        <f>VLOOKUP($D16,HData!$A$2:$AE$219,G$3,FALSE)</f>
        <v>38.119999999999997</v>
      </c>
      <c r="I16" s="51">
        <f>VLOOKUP($D16,HData!$A$2:$AE$219,H$3,FALSE)</f>
        <v>46.82</v>
      </c>
      <c r="J16" s="51">
        <f>VLOOKUP($D16,HData!$A$2:$AE$219,I$3,FALSE)</f>
        <v>43.84</v>
      </c>
      <c r="K16" s="51">
        <f>VLOOKUP($D16,HData!$A$2:$AE$219,J$3,FALSE)</f>
        <v>63.36</v>
      </c>
      <c r="L16" s="51">
        <f>VLOOKUP($D16,HData!$A$2:$AE$219,K$3,FALSE)</f>
        <v>59.67</v>
      </c>
      <c r="M16" s="51">
        <f>VLOOKUP($D16,HData!$A$2:$AE$219,L$3,FALSE)</f>
        <v>456.7</v>
      </c>
      <c r="N16" s="51">
        <f>VLOOKUP($D16,HData!$A$2:$AE$219,M$3,FALSE)</f>
        <v>109.9</v>
      </c>
      <c r="O16" s="51">
        <f>VLOOKUP($D16,HData!$A$2:$AE$219,N$3,FALSE)</f>
        <v>420.2</v>
      </c>
      <c r="P16" s="51">
        <f>VLOOKUP($D16,HData!$A$2:$AE$219,O$3,FALSE)</f>
        <v>402</v>
      </c>
      <c r="Q16" s="51">
        <f>VLOOKUP($D16,HData!$A$2:$AE$219,P$3,FALSE)</f>
        <v>292.3</v>
      </c>
      <c r="R16" s="51">
        <f>VLOOKUP($D16,HData!$A$2:$AE$219,Q$3,FALSE)</f>
        <v>146.9</v>
      </c>
      <c r="S16" s="51">
        <f>VLOOKUP($D16,HData!$A$2:$AE$219,R$3,FALSE)</f>
        <v>220.2</v>
      </c>
      <c r="T16" s="51">
        <f>VLOOKUP($D16,HData!$A$2:$AE$219,S$3,FALSE)</f>
        <v>223</v>
      </c>
      <c r="U16" s="51">
        <f>VLOOKUP($D16,HData!$A$2:$AE$219,T$3,FALSE)</f>
        <v>199.6</v>
      </c>
      <c r="V16" s="51">
        <f>VLOOKUP($D16,HData!$A$2:$AE$219,U$3,FALSE)</f>
        <v>174.1</v>
      </c>
      <c r="W16" s="33"/>
      <c r="X16" s="61">
        <f t="shared" ref="X16:X24" si="19">AVERAGE(BE16:BI16)</f>
        <v>-0.24668591292187153</v>
      </c>
      <c r="Y16" s="61">
        <f t="shared" ref="Y16:Y24" si="20">(H16-I16)/I16</f>
        <v>-0.18581802648440843</v>
      </c>
      <c r="Z16" s="61">
        <f t="shared" ref="Z16:Z24" si="21">(H16-L16)/L16</f>
        <v>-0.36115300821183183</v>
      </c>
      <c r="AA16" s="61">
        <f t="shared" ref="AA16:AA24" si="22">(H16-Q16)/Q16</f>
        <v>-0.86958604173794041</v>
      </c>
      <c r="AB16" s="6"/>
      <c r="AC16" s="6"/>
      <c r="AD16" s="6"/>
      <c r="AE16" s="6"/>
      <c r="AF16" s="6"/>
      <c r="AG16" s="6"/>
      <c r="AH16" s="6"/>
      <c r="AI16" s="6"/>
      <c r="AJ16" s="6"/>
      <c r="AK16" s="6"/>
      <c r="AL16" s="6"/>
      <c r="AM16" s="6"/>
      <c r="AN16" s="6"/>
      <c r="AO16" s="6"/>
      <c r="AP16" s="6"/>
      <c r="AQ16" s="6"/>
      <c r="AR16" s="1" t="s">
        <v>95</v>
      </c>
      <c r="AS16">
        <f>Statistics!E48</f>
        <v>2025</v>
      </c>
      <c r="AT16">
        <f>Statistics!F48</f>
        <v>2026</v>
      </c>
      <c r="AU16">
        <f>Statistics!G48</f>
        <v>2027</v>
      </c>
      <c r="AV16" s="6"/>
      <c r="AY16" s="70" t="s">
        <v>11</v>
      </c>
      <c r="BE16">
        <f t="shared" ref="BE16:BE24" si="23">(H16-I16)/I16</f>
        <v>-0.18581802648440843</v>
      </c>
      <c r="BF16">
        <f t="shared" ref="BF16:BF24" si="24">(I16-J16)/J16</f>
        <v>6.7974452554744449E-2</v>
      </c>
      <c r="BG16">
        <f t="shared" ref="BG16:BG24" si="25">(J16-K16)/K16</f>
        <v>-0.30808080808080801</v>
      </c>
      <c r="BH16">
        <f t="shared" ref="BH16:BH24" si="26">(K16-L16)/L16</f>
        <v>6.1840120663650036E-2</v>
      </c>
      <c r="BI16">
        <f t="shared" ref="BI16:BI24" si="27">(L16-M16)/M16</f>
        <v>-0.86934530326253556</v>
      </c>
      <c r="BJ16">
        <f t="shared" ref="BJ16:BJ24" si="28">(M16-N16)/N16</f>
        <v>3.1555959963603271</v>
      </c>
      <c r="BK16">
        <f t="shared" ref="BK16:BK24" si="29">(N16-O16)/O16</f>
        <v>-0.7384578772013326</v>
      </c>
      <c r="BL16">
        <f t="shared" ref="BL16:BL24" si="30">(O16-P16)/P16</f>
        <v>4.527363184079599E-2</v>
      </c>
      <c r="BM16">
        <f t="shared" ref="BM16:BM24" si="31">(P16-Q16)/Q16</f>
        <v>0.37529934998289421</v>
      </c>
      <c r="BN16">
        <f t="shared" ref="BN16:BN24" si="32">(Q16-R16)/R16</f>
        <v>0.98978897208985706</v>
      </c>
      <c r="BO16">
        <f t="shared" ref="BO16:BO24" si="33">(R16-S16)/S16</f>
        <v>-0.33287920072661209</v>
      </c>
      <c r="BP16">
        <f t="shared" ref="BP16:BP24" si="34">(S16-T16)/T16</f>
        <v>-1.2556053811659244E-2</v>
      </c>
      <c r="BQ16">
        <f t="shared" ref="BQ16:BQ24" si="35">(T16-U16)/U16</f>
        <v>0.11723446893787579</v>
      </c>
      <c r="BR16">
        <f t="shared" ref="BR16:BR24" si="36">(U16-V16)/V16</f>
        <v>0.14646754738655945</v>
      </c>
      <c r="BS16" t="e">
        <f t="shared" ref="BS16:BS24" si="37">(V16-W16)/W16</f>
        <v>#DIV/0!</v>
      </c>
    </row>
    <row r="17" spans="1:71" ht="14" customHeight="1" x14ac:dyDescent="0.2">
      <c r="A17" s="3" t="s">
        <v>52</v>
      </c>
      <c r="B17" s="50" t="str">
        <f>Statistics!B31</f>
        <v>n/a</v>
      </c>
      <c r="C17" s="6"/>
      <c r="D17" s="51" t="s">
        <v>129</v>
      </c>
      <c r="E17" s="47"/>
      <c r="F17" s="51">
        <f>VLOOKUP(AY17,'12QData'!$A$5:$W$218,2,FALSE)</f>
        <v>43920</v>
      </c>
      <c r="G17" s="55"/>
      <c r="H17" s="51">
        <f>VLOOKUP($D17,HData!$A$2:$AE$219,G$3,FALSE)</f>
        <v>25844</v>
      </c>
      <c r="I17" s="51">
        <f>VLOOKUP($D17,HData!$A$2:$AE$219,H$3,FALSE)</f>
        <v>4763</v>
      </c>
      <c r="J17" s="51">
        <f>VLOOKUP($D17,HData!$A$2:$AE$219,I$3,FALSE)</f>
        <v>2410</v>
      </c>
      <c r="K17" s="51">
        <f>VLOOKUP($D17,HData!$A$2:$AE$219,J$3,FALSE)</f>
        <v>3557</v>
      </c>
      <c r="L17" s="51">
        <f>VLOOKUP($D17,HData!$A$2:$AE$219,K$3,FALSE)</f>
        <v>1466</v>
      </c>
      <c r="M17" s="51">
        <f>VLOOKUP($D17,HData!$A$2:$AE$219,L$3,FALSE)</f>
        <v>916.6</v>
      </c>
      <c r="N17" s="51">
        <f>VLOOKUP($D17,HData!$A$2:$AE$219,M$3,FALSE)</f>
        <v>855.8</v>
      </c>
      <c r="O17" s="51">
        <f>VLOOKUP($D17,HData!$A$2:$AE$219,N$3,FALSE)</f>
        <v>835.7</v>
      </c>
      <c r="P17" s="51">
        <f>VLOOKUP($D17,HData!$A$2:$AE$219,O$3,FALSE)</f>
        <v>768.3</v>
      </c>
      <c r="Q17" s="51">
        <f>VLOOKUP($D17,HData!$A$2:$AE$219,P$3,FALSE)</f>
        <v>656.9</v>
      </c>
      <c r="R17" s="51">
        <f>VLOOKUP($D17,HData!$A$2:$AE$219,Q$3,FALSE)</f>
        <v>558.79999999999995</v>
      </c>
      <c r="S17" s="51">
        <f>VLOOKUP($D17,HData!$A$2:$AE$219,R$3,FALSE)</f>
        <v>585.5</v>
      </c>
      <c r="T17" s="51">
        <f>VLOOKUP($D17,HData!$A$2:$AE$219,S$3,FALSE)</f>
        <v>477.9</v>
      </c>
      <c r="U17" s="51">
        <f>VLOOKUP($D17,HData!$A$2:$AE$219,T$3,FALSE)</f>
        <v>453.9</v>
      </c>
      <c r="V17" s="51">
        <f>VLOOKUP($D17,HData!$A$2:$AE$219,U$3,FALSE)</f>
        <v>381.6</v>
      </c>
      <c r="W17" s="33"/>
      <c r="X17" s="61">
        <f t="shared" si="19"/>
        <v>1.4211194033178258</v>
      </c>
      <c r="Y17" s="61">
        <f t="shared" si="20"/>
        <v>4.4259920218349782</v>
      </c>
      <c r="Z17" s="61">
        <f t="shared" si="21"/>
        <v>16.628922237380628</v>
      </c>
      <c r="AA17" s="61">
        <f t="shared" si="22"/>
        <v>38.342365656873191</v>
      </c>
      <c r="AB17" s="6"/>
      <c r="AC17" s="6"/>
      <c r="AD17" s="6"/>
      <c r="AE17" s="6"/>
      <c r="AF17" s="6"/>
      <c r="AG17" s="6"/>
      <c r="AH17" s="6"/>
      <c r="AI17" s="6"/>
      <c r="AJ17" s="6"/>
      <c r="AK17" s="6"/>
      <c r="AL17" s="6"/>
      <c r="AM17" s="6"/>
      <c r="AN17" s="6"/>
      <c r="AO17" s="6"/>
      <c r="AP17" s="6"/>
      <c r="AQ17" s="6"/>
      <c r="AR17" s="3" t="s">
        <v>79</v>
      </c>
      <c r="AS17" s="13">
        <f>Statistics!E49</f>
        <v>7.9000000000000001E-2</v>
      </c>
      <c r="AT17" s="13">
        <f>Statistics!F49</f>
        <v>9.9000000000000005E-2</v>
      </c>
      <c r="AU17" s="13">
        <f>Statistics!G49</f>
        <v>0.104</v>
      </c>
      <c r="AV17" s="6"/>
      <c r="AY17" s="70" t="s">
        <v>129</v>
      </c>
      <c r="BE17">
        <f t="shared" si="23"/>
        <v>4.4259920218349782</v>
      </c>
      <c r="BF17">
        <f t="shared" si="24"/>
        <v>0.9763485477178423</v>
      </c>
      <c r="BG17">
        <f t="shared" si="25"/>
        <v>-0.32246274950801235</v>
      </c>
      <c r="BH17">
        <f t="shared" si="26"/>
        <v>1.4263301500682128</v>
      </c>
      <c r="BI17">
        <f t="shared" si="27"/>
        <v>0.59938904647610736</v>
      </c>
      <c r="BJ17">
        <f t="shared" si="28"/>
        <v>7.1044636597335911E-2</v>
      </c>
      <c r="BK17">
        <f t="shared" si="29"/>
        <v>2.4051693191336494E-2</v>
      </c>
      <c r="BL17">
        <f t="shared" si="30"/>
        <v>8.7726148639854354E-2</v>
      </c>
      <c r="BM17">
        <f t="shared" si="31"/>
        <v>0.16958441163038512</v>
      </c>
      <c r="BN17">
        <f t="shared" si="32"/>
        <v>0.17555476020042954</v>
      </c>
      <c r="BO17">
        <f t="shared" si="33"/>
        <v>-4.5602049530316047E-2</v>
      </c>
      <c r="BP17">
        <f t="shared" si="34"/>
        <v>0.22515170537769413</v>
      </c>
      <c r="BQ17">
        <f t="shared" si="35"/>
        <v>5.2875082617316591E-2</v>
      </c>
      <c r="BR17">
        <f t="shared" si="36"/>
        <v>0.18946540880503132</v>
      </c>
      <c r="BS17" t="e">
        <f t="shared" si="37"/>
        <v>#DIV/0!</v>
      </c>
    </row>
    <row r="18" spans="1:71" ht="14" customHeight="1" x14ac:dyDescent="0.2">
      <c r="A18" s="3" t="s">
        <v>53</v>
      </c>
      <c r="B18" s="50" t="str">
        <f>Statistics!B32</f>
        <v>n/a</v>
      </c>
      <c r="C18" s="6"/>
      <c r="D18" s="51" t="s">
        <v>7</v>
      </c>
      <c r="E18" s="47"/>
      <c r="F18" s="51">
        <f>VLOOKUP(AY18,'12QData'!$A$5:$W$218,2,FALSE)</f>
        <v>8194</v>
      </c>
      <c r="G18" s="55"/>
      <c r="H18" s="51">
        <f>VLOOKUP($D18,HData!$A$2:$AE$219,G$3,FALSE)</f>
        <v>7258</v>
      </c>
      <c r="I18" s="51">
        <f>VLOOKUP($D18,HData!$A$2:$AE$219,H$3,FALSE)</f>
        <v>2254</v>
      </c>
      <c r="J18" s="51">
        <f>VLOOKUP($D18,HData!$A$2:$AE$219,I$3,FALSE)</f>
        <v>2446</v>
      </c>
      <c r="K18" s="51">
        <f>VLOOKUP($D18,HData!$A$2:$AE$219,J$3,FALSE)</f>
        <v>2232</v>
      </c>
      <c r="L18" s="51">
        <f>VLOOKUP($D18,HData!$A$2:$AE$219,K$3,FALSE)</f>
        <v>570.70000000000005</v>
      </c>
      <c r="M18" s="51">
        <f>VLOOKUP($D18,HData!$A$2:$AE$219,L$3,FALSE)</f>
        <v>103.4</v>
      </c>
      <c r="N18" s="51">
        <f>VLOOKUP($D18,HData!$A$2:$AE$219,M$3,FALSE)</f>
        <v>0</v>
      </c>
      <c r="O18" s="51">
        <f>VLOOKUP($D18,HData!$A$2:$AE$219,N$3,FALSE)</f>
        <v>0</v>
      </c>
      <c r="P18" s="51">
        <f>VLOOKUP($D18,HData!$A$2:$AE$219,O$3,FALSE)</f>
        <v>0</v>
      </c>
      <c r="Q18" s="51">
        <f>VLOOKUP($D18,HData!$A$2:$AE$219,P$3,FALSE)</f>
        <v>0</v>
      </c>
      <c r="R18" s="51">
        <f>VLOOKUP($D18,HData!$A$2:$AE$219,Q$3,FALSE)</f>
        <v>0</v>
      </c>
      <c r="S18" s="51">
        <f>VLOOKUP($D18,HData!$A$2:$AE$219,R$3,FALSE)</f>
        <v>0</v>
      </c>
      <c r="T18" s="51" t="str">
        <f>VLOOKUP($D18,HData!$A$2:$AE$219,S$3,FALSE)</f>
        <v>None</v>
      </c>
      <c r="U18" s="51">
        <f>VLOOKUP($D18,HData!$A$2:$AE$219,T$3,FALSE)</f>
        <v>0</v>
      </c>
      <c r="V18" s="51">
        <f>VLOOKUP($D18,HData!$A$2:$AE$219,U$3,FALSE)</f>
        <v>0</v>
      </c>
      <c r="X18" s="61">
        <f t="shared" si="19"/>
        <v>1.9335529479182028</v>
      </c>
      <c r="Y18" s="61">
        <f t="shared" si="20"/>
        <v>2.2200532386867788</v>
      </c>
      <c r="Z18" s="61">
        <f t="shared" si="21"/>
        <v>11.717715086735588</v>
      </c>
      <c r="AA18" s="61" t="e">
        <f t="shared" si="22"/>
        <v>#DIV/0!</v>
      </c>
      <c r="AB18" s="6"/>
      <c r="AC18" s="6"/>
      <c r="AD18" s="6"/>
      <c r="AE18" s="6"/>
      <c r="AF18" s="6"/>
      <c r="AG18" s="6"/>
      <c r="AH18" s="6"/>
      <c r="AI18" s="6"/>
      <c r="AJ18" s="6"/>
      <c r="AK18" s="6"/>
      <c r="AL18" s="6"/>
      <c r="AM18" s="6"/>
      <c r="AN18" s="6"/>
      <c r="AO18" s="6"/>
      <c r="AP18" s="6"/>
      <c r="AQ18" s="6"/>
      <c r="AR18" s="3" t="s">
        <v>98</v>
      </c>
      <c r="AS18" s="13">
        <f>Statistics!E50</f>
        <v>1.7999999999999999E-2</v>
      </c>
      <c r="AT18" s="13">
        <f>Statistics!F50</f>
        <v>3.4000000000000002E-2</v>
      </c>
      <c r="AU18" s="13">
        <f>Statistics!G50</f>
        <v>5.8999999999999997E-2</v>
      </c>
      <c r="AV18" s="6"/>
      <c r="AY18" s="70" t="s">
        <v>7</v>
      </c>
      <c r="BE18">
        <f t="shared" si="23"/>
        <v>2.2200532386867788</v>
      </c>
      <c r="BF18">
        <f t="shared" si="24"/>
        <v>-7.8495502861815211E-2</v>
      </c>
      <c r="BG18">
        <f t="shared" si="25"/>
        <v>9.5878136200716849E-2</v>
      </c>
      <c r="BH18">
        <f t="shared" si="26"/>
        <v>2.9109865077974413</v>
      </c>
      <c r="BI18">
        <f t="shared" si="27"/>
        <v>4.5193423597678919</v>
      </c>
      <c r="BJ18" t="e">
        <f t="shared" si="28"/>
        <v>#DIV/0!</v>
      </c>
      <c r="BK18" t="e">
        <f t="shared" si="29"/>
        <v>#DIV/0!</v>
      </c>
      <c r="BL18" t="e">
        <f t="shared" si="30"/>
        <v>#DIV/0!</v>
      </c>
      <c r="BM18" t="e">
        <f t="shared" si="31"/>
        <v>#DIV/0!</v>
      </c>
      <c r="BN18" t="e">
        <f t="shared" si="32"/>
        <v>#DIV/0!</v>
      </c>
      <c r="BO18" t="e">
        <f t="shared" si="33"/>
        <v>#DIV/0!</v>
      </c>
      <c r="BP18" t="e">
        <f t="shared" si="34"/>
        <v>#VALUE!</v>
      </c>
      <c r="BQ18" t="e">
        <f t="shared" si="35"/>
        <v>#VALUE!</v>
      </c>
      <c r="BR18" t="e">
        <f t="shared" si="36"/>
        <v>#DIV/0!</v>
      </c>
      <c r="BS18" t="e">
        <f t="shared" si="37"/>
        <v>#DIV/0!</v>
      </c>
    </row>
    <row r="19" spans="1:71" ht="14" customHeight="1" x14ac:dyDescent="0.2">
      <c r="A19" s="3" t="s">
        <v>54</v>
      </c>
      <c r="B19" s="50" t="str">
        <f>Statistics!B33</f>
        <v>n/a</v>
      </c>
      <c r="C19" s="6"/>
      <c r="D19" s="51" t="s">
        <v>179</v>
      </c>
      <c r="F19" s="50">
        <f>F18-F16</f>
        <v>8133.7</v>
      </c>
      <c r="H19" s="51">
        <f>VLOOKUP($D19,HData!$A$2:$AE$219,G$3,FALSE)</f>
        <v>7219</v>
      </c>
      <c r="I19" s="51">
        <f>VLOOKUP($D19,HData!$A$2:$AE$219,H$3,FALSE)</f>
        <v>2207</v>
      </c>
      <c r="J19" s="51">
        <f>VLOOKUP($D19,HData!$A$2:$AE$219,I$3,FALSE)</f>
        <v>2403</v>
      </c>
      <c r="K19" s="51">
        <f>VLOOKUP($D19,HData!$A$2:$AE$219,J$3,FALSE)</f>
        <v>2168</v>
      </c>
      <c r="L19" s="51">
        <f>VLOOKUP($D19,HData!$A$2:$AE$219,K$3,FALSE)</f>
        <v>511</v>
      </c>
      <c r="M19" s="51">
        <f>VLOOKUP($D19,HData!$A$2:$AE$219,L$3,FALSE)</f>
        <v>-353.3</v>
      </c>
      <c r="N19" s="51">
        <f>VLOOKUP($D19,HData!$A$2:$AE$219,M$3,FALSE)</f>
        <v>-109.9</v>
      </c>
      <c r="O19" s="51">
        <f>VLOOKUP($D19,HData!$A$2:$AE$219,N$3,FALSE)</f>
        <v>-420.2</v>
      </c>
      <c r="P19" s="51">
        <f>VLOOKUP($D19,HData!$A$2:$AE$219,O$3,FALSE)</f>
        <v>-402</v>
      </c>
      <c r="Q19" s="51">
        <f>VLOOKUP($D19,HData!$A$2:$AE$219,P$3,FALSE)</f>
        <v>-292.3</v>
      </c>
      <c r="R19" s="51">
        <f>VLOOKUP($D19,HData!$A$2:$AE$219,Q$3,FALSE)</f>
        <v>-146.9</v>
      </c>
      <c r="S19" s="51">
        <f>VLOOKUP($D19,HData!$A$2:$AE$219,R$3,FALSE)</f>
        <v>-220.2</v>
      </c>
      <c r="T19" s="51" t="str">
        <f>VLOOKUP($D19,HData!$A$2:$AE$219,S$3,FALSE)</f>
        <v>None</v>
      </c>
      <c r="U19" s="51">
        <f>VLOOKUP($D19,HData!$A$2:$AE$219,T$3,FALSE)</f>
        <v>-199.6</v>
      </c>
      <c r="V19" s="51">
        <f>VLOOKUP($D19,HData!$A$2:$AE$219,U$3,FALSE)</f>
        <v>-174.1</v>
      </c>
      <c r="W19" s="32"/>
      <c r="X19" s="61">
        <f t="shared" si="19"/>
        <v>0.61881695116501612</v>
      </c>
      <c r="Y19" s="61">
        <f t="shared" si="20"/>
        <v>2.2709560489352061</v>
      </c>
      <c r="Z19" s="61">
        <f t="shared" si="21"/>
        <v>13.12720156555773</v>
      </c>
      <c r="AA19" s="61">
        <f t="shared" si="22"/>
        <v>-25.697228874444065</v>
      </c>
      <c r="AB19" s="6"/>
      <c r="AC19" s="6"/>
      <c r="AD19" s="6"/>
      <c r="AE19" s="6"/>
      <c r="AF19" s="6"/>
      <c r="AG19" s="6"/>
      <c r="AH19" s="6"/>
      <c r="AI19" s="6"/>
      <c r="AJ19" s="6"/>
      <c r="AK19" s="6"/>
      <c r="AL19" s="6"/>
      <c r="AM19" s="6"/>
      <c r="AN19" s="6"/>
      <c r="AO19" s="6"/>
      <c r="AP19" s="6"/>
      <c r="AQ19" s="6"/>
      <c r="AR19" s="3" t="s">
        <v>76</v>
      </c>
      <c r="AS19" s="13">
        <f>Statistics!E51</f>
        <v>-6.3E-2</v>
      </c>
      <c r="AT19" s="13">
        <f>Statistics!F51</f>
        <v>-3.7999999999999999E-2</v>
      </c>
      <c r="AU19" s="13">
        <f>Statistics!G51</f>
        <v>8.0000000000000002E-3</v>
      </c>
      <c r="AV19" s="6"/>
      <c r="AY19" s="70" t="s">
        <v>179</v>
      </c>
      <c r="BE19">
        <f t="shared" si="23"/>
        <v>2.2709560489352061</v>
      </c>
      <c r="BF19">
        <f t="shared" si="24"/>
        <v>-8.1564710778193925E-2</v>
      </c>
      <c r="BG19">
        <f t="shared" si="25"/>
        <v>0.10839483394833949</v>
      </c>
      <c r="BH19">
        <f t="shared" si="26"/>
        <v>3.2426614481409004</v>
      </c>
      <c r="BI19">
        <f t="shared" si="27"/>
        <v>-2.4463628644211717</v>
      </c>
      <c r="BJ19">
        <f t="shared" si="28"/>
        <v>2.2147406733393993</v>
      </c>
      <c r="BK19">
        <f t="shared" si="29"/>
        <v>-0.7384578772013326</v>
      </c>
      <c r="BL19">
        <f t="shared" si="30"/>
        <v>4.527363184079599E-2</v>
      </c>
      <c r="BM19">
        <f t="shared" si="31"/>
        <v>0.37529934998289421</v>
      </c>
      <c r="BN19">
        <f t="shared" si="32"/>
        <v>0.98978897208985706</v>
      </c>
      <c r="BO19">
        <f t="shared" si="33"/>
        <v>-0.33287920072661209</v>
      </c>
      <c r="BP19" t="e">
        <f t="shared" si="34"/>
        <v>#VALUE!</v>
      </c>
      <c r="BQ19" t="e">
        <f t="shared" si="35"/>
        <v>#VALUE!</v>
      </c>
      <c r="BR19">
        <f t="shared" si="36"/>
        <v>0.14646754738655945</v>
      </c>
      <c r="BS19" t="e">
        <f t="shared" si="37"/>
        <v>#DIV/0!</v>
      </c>
    </row>
    <row r="20" spans="1:71" ht="15" customHeight="1" x14ac:dyDescent="0.2">
      <c r="A20" s="54" t="s">
        <v>387</v>
      </c>
      <c r="B20" s="50"/>
      <c r="C20" s="6"/>
      <c r="D20" s="51" t="s">
        <v>13</v>
      </c>
      <c r="E20" s="47"/>
      <c r="F20" s="51">
        <f>VLOOKUP(AY20,'12QData'!$A$5:$W$218,2,FALSE)</f>
        <v>6352</v>
      </c>
      <c r="G20" s="55"/>
      <c r="H20" s="51">
        <f>VLOOKUP($D20,HData!$A$2:$AE$219,G$3,FALSE)</f>
        <v>-2167</v>
      </c>
      <c r="I20" s="51">
        <f>VLOOKUP($D20,HData!$A$2:$AE$219,H$3,FALSE)</f>
        <v>-999.2</v>
      </c>
      <c r="J20" s="51">
        <f>VLOOKUP($D20,HData!$A$2:$AE$219,I$3,FALSE)</f>
        <v>-1428</v>
      </c>
      <c r="K20" s="51">
        <f>VLOOKUP($D20,HData!$A$2:$AE$219,J$3,FALSE)</f>
        <v>41.44</v>
      </c>
      <c r="L20" s="51">
        <f>VLOOKUP($D20,HData!$A$2:$AE$219,K$3,FALSE)</f>
        <v>576</v>
      </c>
      <c r="M20" s="51">
        <f>VLOOKUP($D20,HData!$A$2:$AE$219,L$3,FALSE)</f>
        <v>583.5</v>
      </c>
      <c r="N20" s="51">
        <f>VLOOKUP($D20,HData!$A$2:$AE$219,M$3,FALSE)</f>
        <v>549.1</v>
      </c>
      <c r="O20" s="51">
        <f>VLOOKUP($D20,HData!$A$2:$AE$219,N$3,FALSE)</f>
        <v>511.8</v>
      </c>
      <c r="P20" s="51">
        <f>VLOOKUP($D20,HData!$A$2:$AE$219,O$3,FALSE)</f>
        <v>494.1</v>
      </c>
      <c r="Q20" s="51">
        <f>VLOOKUP($D20,HData!$A$2:$AE$219,P$3,FALSE)</f>
        <v>403.2</v>
      </c>
      <c r="R20" s="51">
        <f>VLOOKUP($D20,HData!$A$2:$AE$219,Q$3,FALSE)</f>
        <v>297.3</v>
      </c>
      <c r="S20" s="51">
        <f>VLOOKUP($D20,HData!$A$2:$AE$219,R$3,FALSE)</f>
        <v>292.2</v>
      </c>
      <c r="T20" s="51">
        <f>VLOOKUP($D20,HData!$A$2:$AE$219,S$3,FALSE)</f>
        <v>208.9</v>
      </c>
      <c r="U20" s="51">
        <f>VLOOKUP($D20,HData!$A$2:$AE$219,T$3,FALSE)</f>
        <v>188.4</v>
      </c>
      <c r="V20" s="51">
        <f>VLOOKUP($D20,HData!$A$2:$AE$219,U$3,FALSE)</f>
        <v>170.4</v>
      </c>
      <c r="W20" s="34"/>
      <c r="X20" s="61">
        <f t="shared" si="19"/>
        <v>-7.1063827219012907</v>
      </c>
      <c r="Y20" s="61">
        <f t="shared" si="20"/>
        <v>1.1687349879903921</v>
      </c>
      <c r="Z20" s="61">
        <f t="shared" si="21"/>
        <v>-4.7621527777777777</v>
      </c>
      <c r="AA20" s="61">
        <f t="shared" si="22"/>
        <v>-6.3745039682539684</v>
      </c>
      <c r="AB20" s="6"/>
      <c r="AC20" s="6"/>
      <c r="AD20" s="6"/>
      <c r="AE20" s="6"/>
      <c r="AF20" s="6"/>
      <c r="AG20" s="6"/>
      <c r="AH20" s="6"/>
      <c r="AI20" s="6"/>
      <c r="AJ20" s="6"/>
      <c r="AK20" s="6"/>
      <c r="AL20" s="6"/>
      <c r="AM20" s="6"/>
      <c r="AN20" s="6"/>
      <c r="AO20" s="6"/>
      <c r="AP20" s="6"/>
      <c r="AQ20" s="6"/>
      <c r="AR20" s="6"/>
      <c r="AS20" s="6"/>
      <c r="AT20" s="6"/>
      <c r="AU20" s="6"/>
      <c r="AV20" s="6"/>
      <c r="AY20" s="70" t="s">
        <v>13</v>
      </c>
      <c r="BE20">
        <f t="shared" si="23"/>
        <v>1.1687349879903921</v>
      </c>
      <c r="BF20">
        <f t="shared" si="24"/>
        <v>-0.30028011204481792</v>
      </c>
      <c r="BG20">
        <f t="shared" si="25"/>
        <v>-35.45945945945946</v>
      </c>
      <c r="BH20">
        <f t="shared" si="26"/>
        <v>-0.92805555555555541</v>
      </c>
      <c r="BI20">
        <f t="shared" si="27"/>
        <v>-1.2853470437017995E-2</v>
      </c>
      <c r="BJ20">
        <f t="shared" si="28"/>
        <v>6.2647969404480017E-2</v>
      </c>
      <c r="BK20">
        <f t="shared" si="29"/>
        <v>7.288003126221182E-2</v>
      </c>
      <c r="BL20">
        <f t="shared" si="30"/>
        <v>3.5822707953855469E-2</v>
      </c>
      <c r="BM20">
        <f t="shared" si="31"/>
        <v>0.22544642857142866</v>
      </c>
      <c r="BN20">
        <f t="shared" si="32"/>
        <v>0.35620585267406651</v>
      </c>
      <c r="BO20">
        <f t="shared" si="33"/>
        <v>1.7453798767967224E-2</v>
      </c>
      <c r="BP20">
        <f t="shared" si="34"/>
        <v>0.39875538535184291</v>
      </c>
      <c r="BQ20">
        <f t="shared" si="35"/>
        <v>0.10881104033970276</v>
      </c>
      <c r="BR20">
        <f t="shared" si="36"/>
        <v>0.10563380281690141</v>
      </c>
      <c r="BS20" t="e">
        <f t="shared" si="37"/>
        <v>#DIV/0!</v>
      </c>
    </row>
    <row r="21" spans="1:71" ht="14" customHeight="1" x14ac:dyDescent="0.2">
      <c r="A21" s="3" t="s">
        <v>5</v>
      </c>
      <c r="B21" s="50">
        <f>Statistics!B35</f>
        <v>0.66</v>
      </c>
      <c r="C21" s="6"/>
      <c r="D21" s="52" t="s">
        <v>273</v>
      </c>
      <c r="E21" s="48"/>
      <c r="F21" s="51">
        <f>VLOOKUP(AY21,'12QData'!$A$5:$W$218,2,FALSE)</f>
        <v>81.41</v>
      </c>
      <c r="G21" s="57"/>
      <c r="H21" s="51">
        <f>VLOOKUP($D21,HData!$A$2:$AE$219,G$3,FALSE)</f>
        <v>80.89</v>
      </c>
      <c r="I21" s="51">
        <f>VLOOKUP($D21,HData!$A$2:$AE$219,H$3,FALSE)</f>
        <v>86.28</v>
      </c>
      <c r="J21" s="51">
        <f>VLOOKUP($D21,HData!$A$2:$AE$219,I$3,FALSE)</f>
        <v>93.61</v>
      </c>
      <c r="K21" s="51">
        <f>VLOOKUP($D21,HData!$A$2:$AE$219,J$3,FALSE)</f>
        <v>103.3</v>
      </c>
      <c r="L21" s="51">
        <f>VLOOKUP($D21,HData!$A$2:$AE$219,K$3,FALSE)</f>
        <v>116.6</v>
      </c>
      <c r="M21" s="51">
        <f>VLOOKUP($D21,HData!$A$2:$AE$219,L$3,FALSE)</f>
        <v>135.69999999999999</v>
      </c>
      <c r="N21" s="51">
        <f>VLOOKUP($D21,HData!$A$2:$AE$219,M$3,FALSE)</f>
        <v>51.92</v>
      </c>
      <c r="O21" s="51">
        <f>VLOOKUP($D21,HData!$A$2:$AE$219,N$3,FALSE)</f>
        <v>53.36</v>
      </c>
      <c r="P21" s="51">
        <f>VLOOKUP($D21,HData!$A$2:$AE$219,O$3,FALSE)</f>
        <v>57.44</v>
      </c>
      <c r="Q21" s="51">
        <f>VLOOKUP($D21,HData!$A$2:$AE$219,P$3,FALSE)</f>
        <v>65.66</v>
      </c>
      <c r="R21" s="51">
        <f>VLOOKUP($D21,HData!$A$2:$AE$219,Q$3,FALSE)</f>
        <v>77.849999999999994</v>
      </c>
      <c r="S21" s="51">
        <f>VLOOKUP($D21,HData!$A$2:$AE$219,R$3,FALSE)</f>
        <v>85.44</v>
      </c>
      <c r="T21" s="51">
        <f>VLOOKUP($D21,HData!$A$2:$AE$219,S$3,FALSE)</f>
        <v>96.75</v>
      </c>
      <c r="U21" s="51">
        <f>VLOOKUP($D21,HData!$A$2:$AE$219,T$3,FALSE)</f>
        <v>95.31</v>
      </c>
      <c r="V21" s="51">
        <f>VLOOKUP($D21,HData!$A$2:$AE$219,U$3,FALSE)</f>
        <v>65.03</v>
      </c>
      <c r="X21" s="61">
        <f t="shared" si="19"/>
        <v>-9.7879183167090239E-2</v>
      </c>
      <c r="Y21" s="61">
        <f t="shared" si="20"/>
        <v>-6.2471024571163658E-2</v>
      </c>
      <c r="Z21" s="61">
        <f t="shared" si="21"/>
        <v>-0.30626072041166374</v>
      </c>
      <c r="AA21" s="61">
        <f t="shared" si="22"/>
        <v>0.2319524824855316</v>
      </c>
      <c r="AB21" s="6"/>
      <c r="AC21" s="6"/>
      <c r="AD21" s="6"/>
      <c r="AE21" s="6"/>
      <c r="AF21" s="6"/>
      <c r="AG21" s="6"/>
      <c r="AH21" s="6"/>
      <c r="AI21" s="6"/>
      <c r="AJ21" s="6"/>
      <c r="AK21" s="6"/>
      <c r="AL21" s="6"/>
      <c r="AM21" s="6"/>
      <c r="AN21" s="6"/>
      <c r="AO21" s="6"/>
      <c r="AP21" s="6"/>
      <c r="AQ21" s="6"/>
      <c r="AR21" s="1" t="s">
        <v>66</v>
      </c>
      <c r="AS21">
        <f>Statistics!E58</f>
        <v>2025</v>
      </c>
      <c r="AT21">
        <f>Statistics!F58</f>
        <v>2026</v>
      </c>
      <c r="AU21">
        <f>Statistics!G58</f>
        <v>2027</v>
      </c>
      <c r="AV21" s="6"/>
      <c r="AY21" s="70" t="s">
        <v>127</v>
      </c>
      <c r="BE21">
        <f t="shared" si="23"/>
        <v>-6.2471024571163658E-2</v>
      </c>
      <c r="BF21">
        <f t="shared" si="24"/>
        <v>-7.8303600042730459E-2</v>
      </c>
      <c r="BG21">
        <f t="shared" si="25"/>
        <v>-9.380445304937074E-2</v>
      </c>
      <c r="BH21">
        <f t="shared" si="26"/>
        <v>-0.11406518010291593</v>
      </c>
      <c r="BI21">
        <f t="shared" si="27"/>
        <v>-0.14075165806927042</v>
      </c>
      <c r="BJ21">
        <f t="shared" si="28"/>
        <v>1.6136363636363633</v>
      </c>
      <c r="BK21">
        <f t="shared" si="29"/>
        <v>-2.6986506746626643E-2</v>
      </c>
      <c r="BL21">
        <f t="shared" si="30"/>
        <v>-7.1030640668523645E-2</v>
      </c>
      <c r="BM21">
        <f t="shared" si="31"/>
        <v>-0.1251903746573256</v>
      </c>
      <c r="BN21">
        <f t="shared" si="32"/>
        <v>-0.15658317276814385</v>
      </c>
      <c r="BO21">
        <f t="shared" si="33"/>
        <v>-8.8834269662921392E-2</v>
      </c>
      <c r="BP21">
        <f t="shared" si="34"/>
        <v>-0.11689922480620157</v>
      </c>
      <c r="BQ21">
        <f t="shared" si="35"/>
        <v>1.5108593012275708E-2</v>
      </c>
      <c r="BR21">
        <f t="shared" si="36"/>
        <v>0.46563124711671539</v>
      </c>
      <c r="BS21" t="e">
        <f t="shared" si="37"/>
        <v>#DIV/0!</v>
      </c>
    </row>
    <row r="22" spans="1:71" ht="14" customHeight="1" x14ac:dyDescent="0.2">
      <c r="A22" s="3" t="s">
        <v>8</v>
      </c>
      <c r="B22" s="50">
        <f>Statistics!B36</f>
        <v>0.54</v>
      </c>
      <c r="C22" s="6"/>
      <c r="D22" s="51" t="s">
        <v>124</v>
      </c>
      <c r="F22" s="51" t="e">
        <f>VLOOKUP(AY22,'12QData'!$A$5:$W$218,2,FALSE)</f>
        <v>#N/A</v>
      </c>
      <c r="G22" s="55"/>
      <c r="H22" s="51">
        <f>VLOOKUP($D22,HData!$A$2:$AE$219,G$3,FALSE)</f>
        <v>0</v>
      </c>
      <c r="I22" s="51">
        <f>VLOOKUP($D22,HData!$A$2:$AE$219,H$3,FALSE)</f>
        <v>0</v>
      </c>
      <c r="J22" s="51">
        <f>VLOOKUP($D22,HData!$A$2:$AE$219,I$3,FALSE)</f>
        <v>0</v>
      </c>
      <c r="K22" s="51">
        <f>VLOOKUP($D22,HData!$A$2:$AE$219,J$3,FALSE)</f>
        <v>0</v>
      </c>
      <c r="L22" s="51">
        <f>VLOOKUP($D22,HData!$A$2:$AE$219,K$3,FALSE)</f>
        <v>0</v>
      </c>
      <c r="M22" s="51">
        <f>VLOOKUP($D22,HData!$A$2:$AE$219,L$3,FALSE)</f>
        <v>0</v>
      </c>
      <c r="N22" s="51">
        <f>VLOOKUP($D22,HData!$A$2:$AE$219,M$3,FALSE)</f>
        <v>0</v>
      </c>
      <c r="O22" s="51">
        <f>VLOOKUP($D22,HData!$A$2:$AE$219,N$3,FALSE)</f>
        <v>0</v>
      </c>
      <c r="P22" s="51">
        <f>VLOOKUP($D22,HData!$A$2:$AE$219,O$3,FALSE)</f>
        <v>0</v>
      </c>
      <c r="Q22" s="51">
        <f>VLOOKUP($D22,HData!$A$2:$AE$219,P$3,FALSE)</f>
        <v>0</v>
      </c>
      <c r="R22" s="51">
        <f>VLOOKUP($D22,HData!$A$2:$AE$219,Q$3,FALSE)</f>
        <v>0</v>
      </c>
      <c r="S22" s="51">
        <f>VLOOKUP($D22,HData!$A$2:$AE$219,R$3,FALSE)</f>
        <v>0</v>
      </c>
      <c r="T22" s="51">
        <f>VLOOKUP($D22,HData!$A$2:$AE$219,S$3,FALSE)</f>
        <v>0</v>
      </c>
      <c r="U22" s="51">
        <f>VLOOKUP($D22,HData!$A$2:$AE$219,T$3,FALSE)</f>
        <v>0</v>
      </c>
      <c r="V22" s="51">
        <f>VLOOKUP($D22,HData!$A$2:$AE$219,U$3,FALSE)</f>
        <v>40.42</v>
      </c>
      <c r="W22" s="32"/>
      <c r="X22" s="61" t="e">
        <f t="shared" si="19"/>
        <v>#DIV/0!</v>
      </c>
      <c r="Y22" s="61" t="e">
        <f t="shared" si="20"/>
        <v>#DIV/0!</v>
      </c>
      <c r="Z22" s="61" t="e">
        <f t="shared" si="21"/>
        <v>#DIV/0!</v>
      </c>
      <c r="AA22" s="61" t="e">
        <f t="shared" si="22"/>
        <v>#DIV/0!</v>
      </c>
      <c r="AB22" s="6"/>
      <c r="AC22" s="6"/>
      <c r="AD22" s="6"/>
      <c r="AE22" s="6"/>
      <c r="AF22" s="6"/>
      <c r="AG22" s="6"/>
      <c r="AH22" s="6"/>
      <c r="AI22" s="6"/>
      <c r="AJ22" s="6"/>
      <c r="AK22" s="6"/>
      <c r="AL22" s="6"/>
      <c r="AM22" s="6"/>
      <c r="AN22" s="6"/>
      <c r="AO22" s="6"/>
      <c r="AP22" s="6"/>
      <c r="AQ22" s="6"/>
      <c r="AR22" s="3" t="s">
        <v>79</v>
      </c>
      <c r="AS22" s="13" t="str">
        <f>Statistics!E59</f>
        <v>-</v>
      </c>
      <c r="AT22" s="13" t="str">
        <f>Statistics!F59</f>
        <v>-</v>
      </c>
      <c r="AU22" s="13" t="str">
        <f>Statistics!G59</f>
        <v>-</v>
      </c>
      <c r="AV22" s="6"/>
      <c r="AY22" s="70" t="s">
        <v>124</v>
      </c>
      <c r="BE22" t="e">
        <f t="shared" si="23"/>
        <v>#DIV/0!</v>
      </c>
      <c r="BF22" t="e">
        <f t="shared" si="24"/>
        <v>#DIV/0!</v>
      </c>
      <c r="BG22" t="e">
        <f t="shared" si="25"/>
        <v>#DIV/0!</v>
      </c>
      <c r="BH22" t="e">
        <f t="shared" si="26"/>
        <v>#DIV/0!</v>
      </c>
      <c r="BI22" t="e">
        <f t="shared" si="27"/>
        <v>#DIV/0!</v>
      </c>
      <c r="BJ22" t="e">
        <f t="shared" si="28"/>
        <v>#DIV/0!</v>
      </c>
      <c r="BK22" t="e">
        <f t="shared" si="29"/>
        <v>#DIV/0!</v>
      </c>
      <c r="BL22" t="e">
        <f t="shared" si="30"/>
        <v>#DIV/0!</v>
      </c>
      <c r="BM22" t="e">
        <f t="shared" si="31"/>
        <v>#DIV/0!</v>
      </c>
      <c r="BN22" t="e">
        <f t="shared" si="32"/>
        <v>#DIV/0!</v>
      </c>
      <c r="BO22" t="e">
        <f t="shared" si="33"/>
        <v>#DIV/0!</v>
      </c>
      <c r="BP22" t="e">
        <f t="shared" si="34"/>
        <v>#DIV/0!</v>
      </c>
      <c r="BQ22" t="e">
        <f t="shared" si="35"/>
        <v>#DIV/0!</v>
      </c>
      <c r="BR22">
        <f t="shared" si="36"/>
        <v>-1</v>
      </c>
      <c r="BS22" t="e">
        <f t="shared" si="37"/>
        <v>#DIV/0!</v>
      </c>
    </row>
    <row r="23" spans="1:71" ht="15" customHeight="1" x14ac:dyDescent="0.2">
      <c r="A23" s="3" t="s">
        <v>55</v>
      </c>
      <c r="B23" s="50">
        <f>Statistics!B37</f>
        <v>0.24</v>
      </c>
      <c r="C23" s="6"/>
      <c r="D23" s="51" t="s">
        <v>195</v>
      </c>
      <c r="F23" s="51" t="e">
        <f>VLOOKUP(D23,'12QData'!$A$5:$W$218,2,FALSE)</f>
        <v>#N/A</v>
      </c>
      <c r="G23" s="55"/>
      <c r="H23" s="51">
        <f>VLOOKUP($D23,HData!$A$2:$AE$219,G$3,FALSE)</f>
        <v>0</v>
      </c>
      <c r="I23" s="51">
        <f>VLOOKUP($D23,HData!$A$2:$AE$219,H$3,FALSE)</f>
        <v>0</v>
      </c>
      <c r="J23" s="51">
        <f>VLOOKUP($D23,HData!$A$2:$AE$219,I$3,FALSE)</f>
        <v>0</v>
      </c>
      <c r="K23" s="51">
        <f>VLOOKUP($D23,HData!$A$2:$AE$219,J$3,FALSE)</f>
        <v>0</v>
      </c>
      <c r="L23" s="51">
        <f>VLOOKUP($D23,HData!$A$2:$AE$219,K$3,FALSE)</f>
        <v>0</v>
      </c>
      <c r="M23" s="51">
        <f>VLOOKUP($D23,HData!$A$2:$AE$219,L$3,FALSE)</f>
        <v>0</v>
      </c>
      <c r="N23" s="51">
        <f>VLOOKUP($D23,HData!$A$2:$AE$219,M$3,FALSE)</f>
        <v>0</v>
      </c>
      <c r="O23" s="51">
        <f>VLOOKUP($D23,HData!$A$2:$AE$219,N$3,FALSE)</f>
        <v>0</v>
      </c>
      <c r="P23" s="51">
        <f>VLOOKUP($D23,HData!$A$2:$AE$219,O$3,FALSE)</f>
        <v>0</v>
      </c>
      <c r="Q23" s="51">
        <f>VLOOKUP($D23,HData!$A$2:$AE$219,P$3,FALSE)</f>
        <v>0</v>
      </c>
      <c r="R23" s="51">
        <f>VLOOKUP($D23,HData!$A$2:$AE$219,Q$3,FALSE)</f>
        <v>0</v>
      </c>
      <c r="S23" s="51">
        <f>VLOOKUP($D23,HData!$A$2:$AE$219,R$3,FALSE)</f>
        <v>0</v>
      </c>
      <c r="T23" s="51">
        <f>VLOOKUP($D23,HData!$A$2:$AE$219,S$3,FALSE)</f>
        <v>0</v>
      </c>
      <c r="U23" s="51">
        <f>VLOOKUP($D23,HData!$A$2:$AE$219,T$3,FALSE)</f>
        <v>0</v>
      </c>
      <c r="V23" s="51">
        <f>VLOOKUP($D23,HData!$A$2:$AE$219,U$3,FALSE)</f>
        <v>0</v>
      </c>
      <c r="W23" s="32"/>
      <c r="X23" s="61" t="e">
        <f t="shared" si="19"/>
        <v>#DIV/0!</v>
      </c>
      <c r="Y23" s="61" t="e">
        <f t="shared" si="20"/>
        <v>#DIV/0!</v>
      </c>
      <c r="Z23" s="61" t="e">
        <f t="shared" si="21"/>
        <v>#DIV/0!</v>
      </c>
      <c r="AA23" s="61" t="e">
        <f t="shared" si="22"/>
        <v>#DIV/0!</v>
      </c>
      <c r="AB23" s="6"/>
      <c r="AC23" s="6"/>
      <c r="AD23" s="6"/>
      <c r="AE23" s="6"/>
      <c r="AF23" s="6"/>
      <c r="AG23" s="6"/>
      <c r="AH23" s="6"/>
      <c r="AI23" s="6"/>
      <c r="AJ23" s="6"/>
      <c r="AK23" s="6"/>
      <c r="AL23" s="6"/>
      <c r="AM23" s="6"/>
      <c r="AN23" s="6"/>
      <c r="AO23" s="6"/>
      <c r="AP23" s="6"/>
      <c r="AQ23" s="6"/>
      <c r="AR23" s="3" t="s">
        <v>98</v>
      </c>
      <c r="AS23" s="13" t="str">
        <f>Statistics!E60</f>
        <v>-</v>
      </c>
      <c r="AT23" s="13" t="str">
        <f>Statistics!F60</f>
        <v>-</v>
      </c>
      <c r="AU23" s="13" t="str">
        <f>Statistics!G60</f>
        <v>-</v>
      </c>
      <c r="AV23" s="6"/>
      <c r="AY23" s="70" t="s">
        <v>195</v>
      </c>
      <c r="BE23" t="e">
        <f t="shared" si="23"/>
        <v>#DIV/0!</v>
      </c>
      <c r="BF23" t="e">
        <f t="shared" si="24"/>
        <v>#DIV/0!</v>
      </c>
      <c r="BG23" t="e">
        <f t="shared" si="25"/>
        <v>#DIV/0!</v>
      </c>
      <c r="BH23" t="e">
        <f t="shared" si="26"/>
        <v>#DIV/0!</v>
      </c>
      <c r="BI23" t="e">
        <f t="shared" si="27"/>
        <v>#DIV/0!</v>
      </c>
      <c r="BJ23" t="e">
        <f t="shared" si="28"/>
        <v>#DIV/0!</v>
      </c>
      <c r="BK23" t="e">
        <f t="shared" si="29"/>
        <v>#DIV/0!</v>
      </c>
      <c r="BL23" t="e">
        <f t="shared" si="30"/>
        <v>#DIV/0!</v>
      </c>
      <c r="BM23" t="e">
        <f t="shared" si="31"/>
        <v>#DIV/0!</v>
      </c>
      <c r="BN23" t="e">
        <f t="shared" si="32"/>
        <v>#DIV/0!</v>
      </c>
      <c r="BO23" t="e">
        <f t="shared" si="33"/>
        <v>#DIV/0!</v>
      </c>
      <c r="BP23" t="e">
        <f t="shared" si="34"/>
        <v>#DIV/0!</v>
      </c>
      <c r="BQ23" t="e">
        <f t="shared" si="35"/>
        <v>#DIV/0!</v>
      </c>
      <c r="BR23" t="e">
        <f t="shared" si="36"/>
        <v>#DIV/0!</v>
      </c>
      <c r="BS23" t="e">
        <f t="shared" si="37"/>
        <v>#DIV/0!</v>
      </c>
    </row>
    <row r="24" spans="1:71" ht="15" customHeight="1" x14ac:dyDescent="0.2">
      <c r="A24" s="3" t="s">
        <v>56</v>
      </c>
      <c r="B24" s="50" t="str">
        <f>Statistics!B38</f>
        <v>n/a</v>
      </c>
      <c r="C24" s="6"/>
      <c r="D24" s="51" t="s">
        <v>289</v>
      </c>
      <c r="F24" s="51">
        <f>VLOOKUP(AY24,'12QData'!$A$5:$W$218,2,FALSE)</f>
        <v>33526</v>
      </c>
      <c r="G24" s="55"/>
      <c r="H24" s="51">
        <f>VLOOKUP($D24,HData!$A$2:$AE$219,G$3,FALSE)</f>
        <v>18230</v>
      </c>
      <c r="I24" s="51">
        <f>VLOOKUP($D24,HData!$A$2:$AE$219,H$3,FALSE)</f>
        <v>2165</v>
      </c>
      <c r="J24" s="51">
        <f>VLOOKUP($D24,HData!$A$2:$AE$219,I$3,FALSE)</f>
        <v>-383.1</v>
      </c>
      <c r="K24" s="51">
        <f>VLOOKUP($D24,HData!$A$2:$AE$219,J$3,FALSE)</f>
        <v>979</v>
      </c>
      <c r="L24" s="51">
        <f>VLOOKUP($D24,HData!$A$2:$AE$219,K$3,FALSE)</f>
        <v>553</v>
      </c>
      <c r="M24" s="51">
        <f>VLOOKUP($D24,HData!$A$2:$AE$219,L$3,FALSE)</f>
        <v>508.6</v>
      </c>
      <c r="N24" s="51">
        <f>VLOOKUP($D24,HData!$A$2:$AE$219,M$3,FALSE)</f>
        <v>529.70000000000005</v>
      </c>
      <c r="O24" s="51">
        <f>VLOOKUP($D24,HData!$A$2:$AE$219,N$3,FALSE)</f>
        <v>590.5</v>
      </c>
      <c r="P24" s="51">
        <f>VLOOKUP($D24,HData!$A$2:$AE$219,O$3,FALSE)</f>
        <v>552.20000000000005</v>
      </c>
      <c r="Q24" s="51">
        <f>VLOOKUP($D24,HData!$A$2:$AE$219,P$3,FALSE)</f>
        <v>455.3</v>
      </c>
      <c r="R24" s="51">
        <f>VLOOKUP($D24,HData!$A$2:$AE$219,Q$3,FALSE)</f>
        <v>324.5</v>
      </c>
      <c r="S24" s="51">
        <f>VLOOKUP($D24,HData!$A$2:$AE$219,R$3,FALSE)</f>
        <v>310.3</v>
      </c>
      <c r="T24" s="51">
        <f>VLOOKUP($D24,HData!$A$2:$AE$219,S$3,FALSE)</f>
        <v>200.3</v>
      </c>
      <c r="U24" s="51">
        <f>VLOOKUP($D24,HData!$A$2:$AE$219,T$3,FALSE)</f>
        <v>169</v>
      </c>
      <c r="V24" s="51">
        <f>VLOOKUP($D24,HData!$A$2:$AE$219,U$3,FALSE)</f>
        <v>149.19999999999999</v>
      </c>
      <c r="W24" s="32"/>
      <c r="X24" s="61">
        <f t="shared" si="19"/>
        <v>4.7076342679583404E-2</v>
      </c>
      <c r="Y24" s="61">
        <f t="shared" si="20"/>
        <v>7.4203233256351036</v>
      </c>
      <c r="Z24" s="61">
        <f t="shared" si="21"/>
        <v>31.965641952983724</v>
      </c>
      <c r="AA24" s="61">
        <f t="shared" si="22"/>
        <v>39.039534372940921</v>
      </c>
      <c r="AB24" s="6"/>
      <c r="AC24" s="6"/>
      <c r="AD24" s="6"/>
      <c r="AE24" s="6"/>
      <c r="AF24" s="6"/>
      <c r="AG24" s="6"/>
      <c r="AH24" s="6"/>
      <c r="AI24" s="6"/>
      <c r="AJ24" s="6"/>
      <c r="AK24" s="6"/>
      <c r="AL24" s="6"/>
      <c r="AM24" s="6"/>
      <c r="AN24" s="6"/>
      <c r="AO24" s="6"/>
      <c r="AP24" s="6"/>
      <c r="AQ24" s="6"/>
      <c r="AR24" s="3" t="s">
        <v>76</v>
      </c>
      <c r="AS24" s="13" t="str">
        <f>Statistics!E61</f>
        <v>-</v>
      </c>
      <c r="AT24" s="13" t="str">
        <f>Statistics!F61</f>
        <v>-</v>
      </c>
      <c r="AU24" s="13" t="str">
        <f>Statistics!G61</f>
        <v>-</v>
      </c>
      <c r="AV24" s="6"/>
      <c r="AY24" s="70" t="s">
        <v>400</v>
      </c>
      <c r="BE24">
        <f t="shared" si="23"/>
        <v>7.4203233256351036</v>
      </c>
      <c r="BF24">
        <f t="shared" si="24"/>
        <v>-6.6512659879926908</v>
      </c>
      <c r="BG24">
        <f t="shared" si="25"/>
        <v>-1.3913176710929518</v>
      </c>
      <c r="BH24">
        <f t="shared" si="26"/>
        <v>0.77034358047016271</v>
      </c>
      <c r="BI24">
        <f t="shared" si="27"/>
        <v>8.7298466378293305E-2</v>
      </c>
      <c r="BJ24">
        <f t="shared" si="28"/>
        <v>-3.9833868227298508E-2</v>
      </c>
      <c r="BK24">
        <f t="shared" si="29"/>
        <v>-0.10296359017781534</v>
      </c>
      <c r="BL24">
        <f t="shared" si="30"/>
        <v>6.9358927924664887E-2</v>
      </c>
      <c r="BM24">
        <f t="shared" si="31"/>
        <v>0.2128267076652757</v>
      </c>
      <c r="BN24">
        <f t="shared" si="32"/>
        <v>0.40308166409861329</v>
      </c>
      <c r="BO24">
        <f t="shared" si="33"/>
        <v>4.576216564614885E-2</v>
      </c>
      <c r="BP24">
        <f t="shared" si="34"/>
        <v>0.54917623564653018</v>
      </c>
      <c r="BQ24">
        <f t="shared" si="35"/>
        <v>0.18520710059171605</v>
      </c>
      <c r="BR24">
        <f t="shared" si="36"/>
        <v>0.1327077747989277</v>
      </c>
      <c r="BS24" t="e">
        <f t="shared" si="37"/>
        <v>#DIV/0!</v>
      </c>
    </row>
    <row r="25" spans="1:71" ht="13" customHeight="1" x14ac:dyDescent="0.2">
      <c r="A25" s="3" t="s">
        <v>57</v>
      </c>
      <c r="B25" s="50" t="str">
        <f>Statistics!B39</f>
        <v>n/a</v>
      </c>
      <c r="C25" s="6"/>
      <c r="D25" s="53" t="s">
        <v>373</v>
      </c>
      <c r="E25" s="47"/>
      <c r="F25" s="55"/>
      <c r="G25" s="55"/>
      <c r="H25" s="55"/>
      <c r="I25" s="55"/>
      <c r="J25" s="55"/>
      <c r="K25" s="55"/>
      <c r="L25" s="55"/>
      <c r="M25" s="55"/>
      <c r="N25" s="55"/>
      <c r="O25" s="55"/>
      <c r="P25" s="55"/>
      <c r="Q25" s="55"/>
      <c r="R25" s="55"/>
      <c r="S25" s="55"/>
      <c r="T25" s="55"/>
      <c r="U25" s="55"/>
      <c r="V25" s="55"/>
      <c r="W25" s="32"/>
      <c r="X25" s="66"/>
      <c r="Y25" s="66"/>
      <c r="Z25" s="66"/>
      <c r="AA25" s="66"/>
      <c r="AB25" s="6"/>
      <c r="AC25" s="6"/>
      <c r="AD25" s="6"/>
      <c r="AE25" s="6"/>
      <c r="AF25" s="6"/>
      <c r="AG25" s="6"/>
      <c r="AH25" s="6"/>
      <c r="AI25" s="6"/>
      <c r="AJ25" s="6"/>
      <c r="AK25" s="6"/>
      <c r="AL25" s="6"/>
      <c r="AM25" s="6"/>
      <c r="AN25" s="6"/>
      <c r="AO25" s="6"/>
      <c r="AP25" s="6"/>
      <c r="AQ25" s="6"/>
      <c r="AY25" s="67" t="s">
        <v>373</v>
      </c>
    </row>
    <row r="26" spans="1:71" ht="14" customHeight="1" x14ac:dyDescent="0.2">
      <c r="A26" s="3" t="s">
        <v>58</v>
      </c>
      <c r="B26" s="50">
        <f>Statistics!B40</f>
        <v>-112.72</v>
      </c>
      <c r="C26" s="6"/>
      <c r="D26" s="51" t="s">
        <v>6</v>
      </c>
      <c r="E26" s="47"/>
      <c r="F26" s="51">
        <f>VLOOKUP(AY26,'12QData'!$A$5:$W$218,2,FALSE)</f>
        <v>-104.68</v>
      </c>
      <c r="G26" s="55"/>
      <c r="H26" s="51">
        <f>VLOOKUP($D26,HData!$A$2:$AE$219,H$3,FALSE)</f>
        <v>-22139</v>
      </c>
      <c r="I26" s="51">
        <f>VLOOKUP($D26,HData!$A$2:$AE$219,I$3,FALSE)</f>
        <v>-1893</v>
      </c>
      <c r="J26" s="51">
        <f>VLOOKUP($D26,HData!$A$2:$AE$219,J$3,FALSE)</f>
        <v>-287.2</v>
      </c>
      <c r="K26" s="51">
        <f>VLOOKUP($D26,HData!$A$2:$AE$219,K$3,FALSE)</f>
        <v>-2535</v>
      </c>
      <c r="L26" s="51">
        <f>VLOOKUP($D26,HData!$A$2:$AE$219,L$3,FALSE)</f>
        <v>-1075</v>
      </c>
      <c r="M26" s="51">
        <f>VLOOKUP($D26,HData!$A$2:$AE$219,M$3,FALSE)</f>
        <v>50.69</v>
      </c>
      <c r="N26" s="51">
        <f>VLOOKUP($D26,HData!$A$2:$AE$219,N$3,FALSE)</f>
        <v>3.78</v>
      </c>
      <c r="O26" s="51">
        <f>VLOOKUP($D26,HData!$A$2:$AE$219,O$3,FALSE)</f>
        <v>74.34</v>
      </c>
      <c r="P26" s="51">
        <f>VLOOKUP($D26,HData!$A$2:$AE$219,P$3,FALSE)</f>
        <v>108.3</v>
      </c>
      <c r="Q26" s="51">
        <f>VLOOKUP($D26,HData!$A$2:$AE$219,Q$3,FALSE)</f>
        <v>136.6</v>
      </c>
      <c r="R26" s="51">
        <f>VLOOKUP($D26,HData!$A$2:$AE$219,R$3,FALSE)</f>
        <v>-6.2</v>
      </c>
      <c r="S26" s="51">
        <f>VLOOKUP($D26,HData!$A$2:$AE$219,S$3,FALSE)</f>
        <v>13.45</v>
      </c>
      <c r="T26" s="51">
        <f>VLOOKUP($D26,HData!$A$2:$AE$219,T$3,FALSE)</f>
        <v>10.62</v>
      </c>
      <c r="U26" s="51">
        <f>VLOOKUP($D26,HData!$A$2:$AE$219,U$3,FALSE)</f>
        <v>9.74</v>
      </c>
      <c r="V26" s="51">
        <f>VLOOKUP($D26,HData!$A$2:$AE$219,V$3,FALSE)</f>
        <v>57.35</v>
      </c>
      <c r="W26" s="32"/>
      <c r="X26" s="61">
        <f>AVERAGE(BE26:BI26)</f>
        <v>-1.0898973725448209</v>
      </c>
      <c r="Y26" s="61">
        <f>(H26-I26)/I26</f>
        <v>10.695192815636556</v>
      </c>
      <c r="Z26" s="61">
        <f>(H26-L26)/L26</f>
        <v>19.594418604651164</v>
      </c>
      <c r="AA26" s="61">
        <f>(H26-Q26)/Q26</f>
        <v>-163.07174231332357</v>
      </c>
      <c r="AB26" s="6"/>
      <c r="AC26" s="6"/>
      <c r="AD26" s="6"/>
      <c r="AE26" s="6"/>
      <c r="AF26" s="6"/>
      <c r="AG26" s="6"/>
      <c r="AH26" s="6"/>
      <c r="AI26" s="6"/>
      <c r="AJ26" s="6"/>
      <c r="AK26" s="6"/>
      <c r="AL26" s="6"/>
      <c r="AM26" s="6"/>
      <c r="AN26" s="6"/>
      <c r="AO26" s="6"/>
      <c r="AP26" s="6"/>
      <c r="AQ26" s="6"/>
      <c r="AY26" s="69" t="s">
        <v>6</v>
      </c>
      <c r="BE26">
        <f>(H26-I26)/I26</f>
        <v>10.695192815636556</v>
      </c>
      <c r="BF26">
        <f t="shared" ref="BE26:BS30" si="38">(I26-J26)/J26</f>
        <v>5.5912256267409468</v>
      </c>
      <c r="BG26">
        <f t="shared" si="38"/>
        <v>-0.88670611439842217</v>
      </c>
      <c r="BH26">
        <f t="shared" si="38"/>
        <v>1.3581395348837209</v>
      </c>
      <c r="BI26">
        <f t="shared" si="38"/>
        <v>-22.207338725586904</v>
      </c>
      <c r="BJ26">
        <f t="shared" si="38"/>
        <v>12.41005291005291</v>
      </c>
      <c r="BK26">
        <f t="shared" si="38"/>
        <v>-0.94915254237288138</v>
      </c>
      <c r="BL26">
        <f t="shared" si="38"/>
        <v>-0.31357340720221599</v>
      </c>
      <c r="BM26">
        <f t="shared" si="38"/>
        <v>-0.20717423133235724</v>
      </c>
      <c r="BN26">
        <f t="shared" si="38"/>
        <v>-23.032258064516125</v>
      </c>
      <c r="BO26">
        <f t="shared" si="38"/>
        <v>-1.4609665427509293</v>
      </c>
      <c r="BP26">
        <f t="shared" si="38"/>
        <v>0.2664783427495292</v>
      </c>
      <c r="BQ26">
        <f t="shared" si="38"/>
        <v>9.0349075975359239E-2</v>
      </c>
      <c r="BR26">
        <f t="shared" si="38"/>
        <v>-0.83016564952048821</v>
      </c>
      <c r="BS26" t="e">
        <f t="shared" si="38"/>
        <v>#DIV/0!</v>
      </c>
    </row>
    <row r="27" spans="1:71" ht="14" customHeight="1" x14ac:dyDescent="0.2">
      <c r="A27" s="3" t="s">
        <v>70</v>
      </c>
      <c r="B27" s="50">
        <f>Statistics!B119</f>
        <v>0</v>
      </c>
      <c r="C27" s="6"/>
      <c r="D27" s="51" t="s">
        <v>374</v>
      </c>
      <c r="E27" s="47"/>
      <c r="F27" s="51">
        <f>VLOOKUP(AY27,'12QData'!$A$5:$W$218,2,FALSE)</f>
        <v>-84.01</v>
      </c>
      <c r="G27" s="55"/>
      <c r="H27" s="51">
        <f>VLOOKUP($D27,HData!$A$2:$AE$219,H$3,FALSE)</f>
        <v>-53.03</v>
      </c>
      <c r="I27" s="51">
        <f>VLOOKUP($D27,HData!$A$2:$AE$219,I$3,FALSE)</f>
        <v>12.71</v>
      </c>
      <c r="J27" s="51">
        <f>VLOOKUP($D27,HData!$A$2:$AE$219,J$3,FALSE)</f>
        <v>3.21</v>
      </c>
      <c r="K27" s="51">
        <f>VLOOKUP($D27,HData!$A$2:$AE$219,K$3,FALSE)</f>
        <v>93.83</v>
      </c>
      <c r="L27" s="51">
        <f>VLOOKUP($D27,HData!$A$2:$AE$219,L$3,FALSE)</f>
        <v>53.62</v>
      </c>
      <c r="M27" s="51">
        <f>VLOOKUP($D27,HData!$A$2:$AE$219,M$3,FALSE)</f>
        <v>60.87</v>
      </c>
      <c r="N27" s="51">
        <f>VLOOKUP($D27,HData!$A$2:$AE$219,N$3,FALSE)</f>
        <v>10.63</v>
      </c>
      <c r="O27" s="51">
        <f>VLOOKUP($D27,HData!$A$2:$AE$219,O$3,FALSE)</f>
        <v>78.319999999999993</v>
      </c>
      <c r="P27" s="51">
        <f>VLOOKUP($D27,HData!$A$2:$AE$219,P$3,FALSE)</f>
        <v>110.6</v>
      </c>
      <c r="Q27" s="51">
        <f>VLOOKUP($D27,HData!$A$2:$AE$219,Q$3,FALSE)</f>
        <v>149.69999999999999</v>
      </c>
      <c r="R27" s="51">
        <f>VLOOKUP($D27,HData!$A$2:$AE$219,R$3,FALSE)</f>
        <v>14.6</v>
      </c>
      <c r="S27" s="51">
        <f>VLOOKUP($D27,HData!$A$2:$AE$219,S$3,FALSE)</f>
        <v>29.93</v>
      </c>
      <c r="T27" s="51">
        <f>VLOOKUP($D27,HData!$A$2:$AE$219,T$3,FALSE)</f>
        <v>49.88</v>
      </c>
      <c r="U27" s="51">
        <f>VLOOKUP($D27,HData!$A$2:$AE$219,U$3,FALSE)</f>
        <v>56.31</v>
      </c>
      <c r="V27" s="51">
        <f>VLOOKUP($D27,HData!$A$2:$AE$219,V$3,FALSE)</f>
        <v>75.83</v>
      </c>
      <c r="W27" s="32"/>
      <c r="X27" s="61">
        <f>AVERAGE(BE27:BI27)</f>
        <v>-0.50955848958297523</v>
      </c>
      <c r="Y27" s="61">
        <f>(H27-I27)/I27</f>
        <v>-5.1723052714398117</v>
      </c>
      <c r="Z27" s="61">
        <f>(H27-L27)/L27</f>
        <v>-1.9889966430436405</v>
      </c>
      <c r="AA27" s="61">
        <f>(H27-Q27)/Q27</f>
        <v>-1.3542418169672679</v>
      </c>
      <c r="AB27" s="6"/>
      <c r="AC27" s="6"/>
      <c r="AD27" s="6"/>
      <c r="AE27" s="6"/>
      <c r="AF27" s="6"/>
      <c r="AG27" s="6"/>
      <c r="AH27" s="6"/>
      <c r="AI27" s="6"/>
      <c r="AJ27" s="6"/>
      <c r="AK27" s="6"/>
      <c r="AL27" s="6"/>
      <c r="AM27" s="6"/>
      <c r="AN27" s="6"/>
      <c r="AO27" s="6"/>
      <c r="AP27" s="6"/>
      <c r="AQ27" s="6"/>
      <c r="AY27" s="69" t="s">
        <v>156</v>
      </c>
      <c r="BE27">
        <f t="shared" si="38"/>
        <v>-5.1723052714398117</v>
      </c>
      <c r="BF27">
        <f t="shared" si="38"/>
        <v>2.9595015576323989</v>
      </c>
      <c r="BG27">
        <f t="shared" si="38"/>
        <v>-0.96578919322178414</v>
      </c>
      <c r="BH27">
        <f t="shared" si="38"/>
        <v>0.74990675121223427</v>
      </c>
      <c r="BI27">
        <f t="shared" si="38"/>
        <v>-0.1191062920979136</v>
      </c>
      <c r="BJ27">
        <f t="shared" si="38"/>
        <v>4.726246472248353</v>
      </c>
      <c r="BK27">
        <f t="shared" si="38"/>
        <v>-0.86427477017364662</v>
      </c>
      <c r="BL27">
        <f t="shared" si="38"/>
        <v>-0.29186256781193493</v>
      </c>
      <c r="BM27">
        <f t="shared" si="38"/>
        <v>-0.26118904475617899</v>
      </c>
      <c r="BN27">
        <f t="shared" si="38"/>
        <v>9.2534246575342465</v>
      </c>
      <c r="BO27">
        <f t="shared" si="38"/>
        <v>-0.51219512195121952</v>
      </c>
      <c r="BP27">
        <f t="shared" si="38"/>
        <v>-0.39995990376904572</v>
      </c>
      <c r="BQ27">
        <f t="shared" si="38"/>
        <v>-0.1141893091813177</v>
      </c>
      <c r="BR27">
        <f t="shared" si="38"/>
        <v>-0.25741790847949358</v>
      </c>
      <c r="BS27" t="e">
        <f t="shared" si="38"/>
        <v>#DIV/0!</v>
      </c>
    </row>
    <row r="28" spans="1:71" ht="14" customHeight="1" x14ac:dyDescent="0.2">
      <c r="A28" s="54" t="s">
        <v>386</v>
      </c>
      <c r="B28" s="50"/>
      <c r="C28" s="6"/>
      <c r="D28" s="51" t="s">
        <v>318</v>
      </c>
      <c r="E28" s="47"/>
      <c r="F28" s="51">
        <f>VLOOKUP(AY28,'12QData'!$A$5:$W$218,2,FALSE)</f>
        <v>-20.67</v>
      </c>
      <c r="G28" s="55"/>
      <c r="H28" s="51">
        <f>VLOOKUP($D28,HData!$A$2:$AE$219,H$3,FALSE)</f>
        <v>-22086</v>
      </c>
      <c r="I28" s="51">
        <f>VLOOKUP($D28,HData!$A$2:$AE$219,I$3,FALSE)</f>
        <v>-1905</v>
      </c>
      <c r="J28" s="51">
        <f>VLOOKUP($D28,HData!$A$2:$AE$219,J$3,FALSE)</f>
        <v>-290.39999999999998</v>
      </c>
      <c r="K28" s="51">
        <f>VLOOKUP($D28,HData!$A$2:$AE$219,K$3,FALSE)</f>
        <v>-2629</v>
      </c>
      <c r="L28" s="51">
        <f>VLOOKUP($D28,HData!$A$2:$AE$219,L$3,FALSE)</f>
        <v>-1129</v>
      </c>
      <c r="M28" s="51">
        <f>VLOOKUP($D28,HData!$A$2:$AE$219,M$3,FALSE)</f>
        <v>-10.18</v>
      </c>
      <c r="N28" s="51">
        <f>VLOOKUP($D28,HData!$A$2:$AE$219,N$3,FALSE)</f>
        <v>-6.85</v>
      </c>
      <c r="O28" s="51">
        <f>VLOOKUP($D28,HData!$A$2:$AE$219,O$3,FALSE)</f>
        <v>-3.98</v>
      </c>
      <c r="P28" s="51">
        <f>VLOOKUP($D28,HData!$A$2:$AE$219,P$3,FALSE)</f>
        <v>-2.34</v>
      </c>
      <c r="Q28" s="51">
        <f>VLOOKUP($D28,HData!$A$2:$AE$219,Q$3,FALSE)</f>
        <v>-13.08</v>
      </c>
      <c r="R28" s="51">
        <f>VLOOKUP($D28,HData!$A$2:$AE$219,R$3,FALSE)</f>
        <v>-20.8</v>
      </c>
      <c r="S28" s="51">
        <f>VLOOKUP($D28,HData!$A$2:$AE$219,S$3,FALSE)</f>
        <v>-16.48</v>
      </c>
      <c r="T28" s="51">
        <f>VLOOKUP($D28,HData!$A$2:$AE$219,T$3,FALSE)</f>
        <v>-39.26</v>
      </c>
      <c r="U28" s="51">
        <f>VLOOKUP($D28,HData!$A$2:$AE$219,U$3,FALSE)</f>
        <v>-46.57</v>
      </c>
      <c r="V28" s="51">
        <f>VLOOKUP($D28,HData!$A$2:$AE$219,V$3,FALSE)</f>
        <v>-18.47</v>
      </c>
      <c r="W28" s="32"/>
      <c r="X28" s="61">
        <f>AVERAGE(BE28:BI28)</f>
        <v>25.299284118417887</v>
      </c>
      <c r="Y28" s="61">
        <f>(H28-I28)/I28</f>
        <v>10.593700787401575</v>
      </c>
      <c r="Z28" s="61">
        <f>(H28-L28)/L28</f>
        <v>18.562444641275466</v>
      </c>
      <c r="AA28" s="61">
        <f>(H28-Q28)/Q28</f>
        <v>1687.5321100917429</v>
      </c>
      <c r="AB28" s="6"/>
      <c r="AC28" s="6"/>
      <c r="AD28" s="6"/>
      <c r="AE28" s="6"/>
      <c r="AF28" s="6"/>
      <c r="AG28" s="6"/>
      <c r="AH28" s="6"/>
      <c r="AI28" s="6"/>
      <c r="AJ28" s="6"/>
      <c r="AK28" s="6"/>
      <c r="AL28" s="6"/>
      <c r="AM28" s="6"/>
      <c r="AN28" s="6"/>
      <c r="AO28" s="6"/>
      <c r="AP28" s="6"/>
      <c r="AQ28" s="6"/>
      <c r="AY28" s="69" t="s">
        <v>157</v>
      </c>
      <c r="BE28">
        <f t="shared" si="38"/>
        <v>10.593700787401575</v>
      </c>
      <c r="BF28">
        <f t="shared" si="38"/>
        <v>5.5599173553719012</v>
      </c>
      <c r="BG28">
        <f t="shared" si="38"/>
        <v>-0.88953974895397481</v>
      </c>
      <c r="BH28">
        <f t="shared" si="38"/>
        <v>1.328609388839681</v>
      </c>
      <c r="BI28">
        <f t="shared" si="38"/>
        <v>109.90373280943025</v>
      </c>
      <c r="BJ28">
        <f t="shared" si="38"/>
        <v>0.48613138686131391</v>
      </c>
      <c r="BK28">
        <f t="shared" si="38"/>
        <v>0.72110552763819091</v>
      </c>
      <c r="BL28">
        <f t="shared" si="38"/>
        <v>0.70085470085470092</v>
      </c>
      <c r="BM28">
        <f t="shared" si="38"/>
        <v>-0.82110091743119262</v>
      </c>
      <c r="BN28">
        <f t="shared" si="38"/>
        <v>-0.37115384615384617</v>
      </c>
      <c r="BO28">
        <f t="shared" si="38"/>
        <v>0.26213592233009708</v>
      </c>
      <c r="BP28">
        <f t="shared" si="38"/>
        <v>-0.58023433520122258</v>
      </c>
      <c r="BQ28">
        <f t="shared" si="38"/>
        <v>-0.15696800515353238</v>
      </c>
      <c r="BR28">
        <f t="shared" si="38"/>
        <v>1.521386031402274</v>
      </c>
      <c r="BS28" t="e">
        <f t="shared" si="38"/>
        <v>#DIV/0!</v>
      </c>
    </row>
    <row r="29" spans="1:71" ht="14" customHeight="1" x14ac:dyDescent="0.2">
      <c r="A29" s="3" t="s">
        <v>375</v>
      </c>
      <c r="B29" s="61">
        <f>Statistics!B42</f>
        <v>-0.29680000000000001</v>
      </c>
      <c r="C29" s="6"/>
      <c r="D29" s="51" t="s">
        <v>302</v>
      </c>
      <c r="E29" s="47"/>
      <c r="F29" s="51">
        <f>VLOOKUP(AY29,'12QData'!$A$5:$W$218,2,FALSE)</f>
        <v>107.29</v>
      </c>
      <c r="G29" s="55"/>
      <c r="H29" s="51">
        <f>VLOOKUP($D29,HData!$A$2:$AE$219,H$3,FALSE)</f>
        <v>5.69</v>
      </c>
      <c r="I29" s="51">
        <f>VLOOKUP($D29,HData!$A$2:$AE$219,I$3,FALSE)</f>
        <v>10.31</v>
      </c>
      <c r="J29" s="51">
        <f>VLOOKUP($D29,HData!$A$2:$AE$219,J$3,FALSE)</f>
        <v>-5.29</v>
      </c>
      <c r="K29" s="51">
        <f>VLOOKUP($D29,HData!$A$2:$AE$219,K$3,FALSE)</f>
        <v>2.62</v>
      </c>
      <c r="L29" s="51">
        <f>VLOOKUP($D29,HData!$A$2:$AE$219,L$3,FALSE)</f>
        <v>-0.77400000000000002</v>
      </c>
      <c r="M29" s="51">
        <f>VLOOKUP($D29,HData!$A$2:$AE$219,M$3,FALSE)</f>
        <v>-3.67</v>
      </c>
      <c r="N29" s="51">
        <f>VLOOKUP($D29,HData!$A$2:$AE$219,N$3,FALSE)</f>
        <v>-8.36</v>
      </c>
      <c r="O29" s="51">
        <f>VLOOKUP($D29,HData!$A$2:$AE$219,O$3,FALSE)</f>
        <v>15.35</v>
      </c>
      <c r="P29" s="51">
        <f>VLOOKUP($D29,HData!$A$2:$AE$219,P$3,FALSE)</f>
        <v>-16.88</v>
      </c>
      <c r="Q29" s="51">
        <f>VLOOKUP($D29,HData!$A$2:$AE$219,Q$3,FALSE)</f>
        <v>5</v>
      </c>
      <c r="R29" s="51">
        <f>VLOOKUP($D29,HData!$A$2:$AE$219,R$3,FALSE)</f>
        <v>-0.27600000000000002</v>
      </c>
      <c r="S29" s="51">
        <f>VLOOKUP($D29,HData!$A$2:$AE$219,S$3,FALSE)</f>
        <v>0.67600000000000005</v>
      </c>
      <c r="T29" s="51">
        <f>VLOOKUP($D29,HData!$A$2:$AE$219,T$3,FALSE)</f>
        <v>-3.44</v>
      </c>
      <c r="U29" s="51">
        <f>VLOOKUP($D29,HData!$A$2:$AE$219,U$3,FALSE)</f>
        <v>-15.14</v>
      </c>
      <c r="V29" s="51">
        <f>VLOOKUP($D29,HData!$A$2:$AE$219,V$3,FALSE)</f>
        <v>-30.13</v>
      </c>
      <c r="W29" s="46"/>
      <c r="X29" s="61">
        <f>AVERAGE(BE29:BI29)</f>
        <v>-2.3180533283308362</v>
      </c>
      <c r="Y29" s="61">
        <f>(H29-I29)/I29</f>
        <v>-0.44810863239573229</v>
      </c>
      <c r="Z29" s="61">
        <f>(H29-L29)/L29</f>
        <v>-8.351421188630491</v>
      </c>
      <c r="AA29" s="61">
        <f>(H29-Q29)/Q29</f>
        <v>0.13800000000000007</v>
      </c>
      <c r="AB29" s="6"/>
      <c r="AC29" s="6"/>
      <c r="AD29" s="6"/>
      <c r="AE29" s="6"/>
      <c r="AF29" s="6"/>
      <c r="AG29" s="6"/>
      <c r="AH29" s="6"/>
      <c r="AI29" s="6"/>
      <c r="AJ29" s="6"/>
      <c r="AK29" s="6"/>
      <c r="AL29" s="6"/>
      <c r="AM29" s="6"/>
      <c r="AN29" s="6"/>
      <c r="AO29" s="6"/>
      <c r="AP29" s="6"/>
      <c r="AQ29" s="6"/>
      <c r="AY29" s="69" t="s">
        <v>302</v>
      </c>
      <c r="BE29">
        <f t="shared" si="38"/>
        <v>-0.44810863239573229</v>
      </c>
      <c r="BF29">
        <f t="shared" si="38"/>
        <v>-2.9489603024574671</v>
      </c>
      <c r="BG29">
        <f t="shared" si="38"/>
        <v>-3.0190839694656488</v>
      </c>
      <c r="BH29">
        <f t="shared" si="38"/>
        <v>-4.3850129198966412</v>
      </c>
      <c r="BI29">
        <f t="shared" si="38"/>
        <v>-0.78910081743869209</v>
      </c>
      <c r="BJ29">
        <f t="shared" si="38"/>
        <v>-0.56100478468899517</v>
      </c>
      <c r="BK29">
        <f t="shared" si="38"/>
        <v>-1.5446254071661238</v>
      </c>
      <c r="BL29">
        <f t="shared" si="38"/>
        <v>-1.9093601895734595</v>
      </c>
      <c r="BM29">
        <f t="shared" si="38"/>
        <v>-4.3759999999999994</v>
      </c>
      <c r="BN29">
        <f t="shared" si="38"/>
        <v>-19.115942028985504</v>
      </c>
      <c r="BO29">
        <f t="shared" si="38"/>
        <v>-1.4082840236686391</v>
      </c>
      <c r="BP29">
        <f t="shared" si="38"/>
        <v>-1.1965116279069767</v>
      </c>
      <c r="BQ29">
        <f t="shared" si="38"/>
        <v>-0.77278731836195513</v>
      </c>
      <c r="BR29">
        <f t="shared" si="38"/>
        <v>-0.49751078659143705</v>
      </c>
      <c r="BS29" t="e">
        <f t="shared" si="38"/>
        <v>#DIV/0!</v>
      </c>
    </row>
    <row r="30" spans="1:71" ht="15" customHeight="1" x14ac:dyDescent="0.2">
      <c r="A30" s="3" t="s">
        <v>376</v>
      </c>
      <c r="B30" s="61">
        <f>Statistics!B43</f>
        <v>-0.18820000000000001</v>
      </c>
      <c r="C30" s="6"/>
      <c r="D30" s="51" t="s">
        <v>310</v>
      </c>
      <c r="E30" s="47"/>
      <c r="F30" s="51">
        <f>VLOOKUP(AY30,'12QData'!$A$5:$W$218,2,FALSE)</f>
        <v>6293</v>
      </c>
      <c r="G30" s="55"/>
      <c r="H30" s="51">
        <f>VLOOKUP($D30,HData!$A$2:$AE$219,H$3,FALSE)</f>
        <v>5697</v>
      </c>
      <c r="I30" s="51">
        <f>VLOOKUP($D30,HData!$A$2:$AE$219,I$3,FALSE)</f>
        <v>-160.5</v>
      </c>
      <c r="J30" s="51">
        <f>VLOOKUP($D30,HData!$A$2:$AE$219,J$3,FALSE)</f>
        <v>215.5</v>
      </c>
      <c r="K30" s="51">
        <f>VLOOKUP($D30,HData!$A$2:$AE$219,K$3,FALSE)</f>
        <v>1550</v>
      </c>
      <c r="L30" s="51">
        <f>VLOOKUP($D30,HData!$A$2:$AE$219,L$3,FALSE)</f>
        <v>650</v>
      </c>
      <c r="M30" s="51">
        <f>VLOOKUP($D30,HData!$A$2:$AE$219,M$3,FALSE)</f>
        <v>0</v>
      </c>
      <c r="N30" s="51">
        <f>VLOOKUP($D30,HData!$A$2:$AE$219,N$3,FALSE)</f>
        <v>-8.9999999999999993E-3</v>
      </c>
      <c r="O30" s="51">
        <f>VLOOKUP($D30,HData!$A$2:$AE$219,O$3,FALSE)</f>
        <v>-2.1000000000000001E-2</v>
      </c>
      <c r="P30" s="51">
        <f>VLOOKUP($D30,HData!$A$2:$AE$219,P$3,FALSE)</f>
        <v>-0.17199999999999999</v>
      </c>
      <c r="Q30" s="51">
        <f>VLOOKUP($D30,HData!$A$2:$AE$219,Q$3,FALSE)</f>
        <v>-1.45</v>
      </c>
      <c r="R30" s="51">
        <f>VLOOKUP($D30,HData!$A$2:$AE$219,R$3,FALSE)</f>
        <v>-2.33</v>
      </c>
      <c r="S30" s="51">
        <f>VLOOKUP($D30,HData!$A$2:$AE$219,S$3,FALSE)</f>
        <v>-2.2799999999999998</v>
      </c>
      <c r="T30" s="51">
        <f>VLOOKUP($D30,HData!$A$2:$AE$219,T$3,FALSE)</f>
        <v>-0.49099999999999999</v>
      </c>
      <c r="U30" s="51">
        <f>VLOOKUP($D30,HData!$A$2:$AE$219,U$3,FALSE)</f>
        <v>0</v>
      </c>
      <c r="V30" s="51">
        <f>VLOOKUP($D30,HData!$A$2:$AE$219,V$3,FALSE)</f>
        <v>0</v>
      </c>
      <c r="W30" s="46"/>
      <c r="X30" s="61" t="e">
        <f>AVERAGE(BE30:BI30)</f>
        <v>#DIV/0!</v>
      </c>
      <c r="Y30" s="61">
        <f>(H30-I30)/I30</f>
        <v>-36.495327102803735</v>
      </c>
      <c r="Z30" s="61">
        <f>(H30-L30)/L30</f>
        <v>7.7646153846153849</v>
      </c>
      <c r="AA30" s="61">
        <f>(H30-Q30)/Q30</f>
        <v>-3929.9655172413795</v>
      </c>
      <c r="AB30" s="6"/>
      <c r="AC30" s="6"/>
      <c r="AD30" s="6"/>
      <c r="AE30" s="6"/>
      <c r="AF30" s="6"/>
      <c r="AG30" s="6"/>
      <c r="AH30" s="6"/>
      <c r="AI30" s="6"/>
      <c r="AJ30" s="6"/>
      <c r="AK30" s="6"/>
      <c r="AL30" s="6"/>
      <c r="AM30" s="6"/>
      <c r="AN30" s="6"/>
      <c r="AO30" s="6"/>
      <c r="AP30" s="6"/>
      <c r="AQ30" s="6"/>
      <c r="AY30" s="69" t="s">
        <v>163</v>
      </c>
      <c r="BE30">
        <f t="shared" si="38"/>
        <v>-36.495327102803735</v>
      </c>
      <c r="BF30">
        <f t="shared" si="38"/>
        <v>-1.7447795823665893</v>
      </c>
      <c r="BG30">
        <f t="shared" si="38"/>
        <v>-0.86096774193548387</v>
      </c>
      <c r="BH30">
        <f t="shared" si="38"/>
        <v>1.3846153846153846</v>
      </c>
      <c r="BI30" t="e">
        <f t="shared" si="38"/>
        <v>#DIV/0!</v>
      </c>
      <c r="BJ30">
        <f t="shared" si="38"/>
        <v>-1</v>
      </c>
      <c r="BK30">
        <f t="shared" si="38"/>
        <v>-0.57142857142857151</v>
      </c>
      <c r="BL30">
        <f t="shared" si="38"/>
        <v>-0.87790697674418605</v>
      </c>
      <c r="BM30">
        <f t="shared" si="38"/>
        <v>-0.88137931034482764</v>
      </c>
      <c r="BN30">
        <f t="shared" si="38"/>
        <v>-0.37768240343347642</v>
      </c>
      <c r="BO30">
        <f t="shared" si="38"/>
        <v>2.1929824561403629E-2</v>
      </c>
      <c r="BP30">
        <f t="shared" si="38"/>
        <v>3.6435845213849283</v>
      </c>
      <c r="BQ30" t="e">
        <f t="shared" si="38"/>
        <v>#DIV/0!</v>
      </c>
      <c r="BR30" t="e">
        <f t="shared" si="38"/>
        <v>#DIV/0!</v>
      </c>
      <c r="BS30" t="e">
        <f t="shared" si="38"/>
        <v>#DIV/0!</v>
      </c>
    </row>
    <row r="31" spans="1:71" ht="15" customHeight="1" x14ac:dyDescent="0.2">
      <c r="A31" s="3" t="s">
        <v>377</v>
      </c>
      <c r="B31" s="61">
        <f>Statistics!B44</f>
        <v>-0.19819999999999999</v>
      </c>
      <c r="C31" s="6"/>
      <c r="D31" s="53" t="s">
        <v>386</v>
      </c>
      <c r="E31" s="14"/>
      <c r="F31" s="55"/>
      <c r="G31" s="56"/>
      <c r="H31" s="55"/>
      <c r="I31" s="55"/>
      <c r="J31" s="55"/>
      <c r="K31" s="55"/>
      <c r="L31" s="55"/>
      <c r="M31" s="55"/>
      <c r="N31" s="55"/>
      <c r="O31" s="55"/>
      <c r="P31" s="55"/>
      <c r="Q31" s="55"/>
      <c r="R31" s="55"/>
      <c r="S31" s="55"/>
      <c r="T31" s="55"/>
      <c r="U31" s="55"/>
      <c r="V31" s="55"/>
      <c r="W31" s="46"/>
      <c r="X31" s="66"/>
      <c r="Y31" s="66"/>
      <c r="Z31" s="66"/>
      <c r="AA31" s="66"/>
      <c r="AB31" s="6"/>
      <c r="AC31" s="6"/>
      <c r="AD31" s="6"/>
      <c r="AE31" s="6"/>
      <c r="AF31" s="6"/>
      <c r="AG31" s="6"/>
      <c r="AH31" s="6"/>
      <c r="AI31" s="6"/>
      <c r="AJ31" s="6"/>
      <c r="AK31" s="6"/>
      <c r="AL31" s="6"/>
      <c r="AM31" s="6"/>
      <c r="AN31" s="6"/>
      <c r="AO31" s="6"/>
      <c r="AP31" s="6"/>
      <c r="AQ31" s="6"/>
      <c r="AY31" s="67" t="s">
        <v>386</v>
      </c>
    </row>
    <row r="32" spans="1:71" x14ac:dyDescent="0.2">
      <c r="A32" s="3" t="s">
        <v>378</v>
      </c>
      <c r="B32" s="61">
        <f>Statistics!B45</f>
        <v>-0.1736</v>
      </c>
      <c r="C32" s="6"/>
      <c r="D32" s="42" t="s">
        <v>343</v>
      </c>
      <c r="E32" s="46"/>
      <c r="F32" s="58">
        <f>VLOOKUP(AY33,'12QData'!$A$5:$W$218,2,FALSE)</f>
        <v>-0.18820000000000001</v>
      </c>
      <c r="G32" s="60"/>
      <c r="H32" s="58">
        <f>VLOOKUP($D32,HData!$A$2:$AE$219,H$3,FALSE)</f>
        <v>-4.5100000000000001E-2</v>
      </c>
      <c r="I32" s="58">
        <f>VLOOKUP($D32,HData!$A$2:$AE$219,I$3,FALSE)</f>
        <v>9.01E-2</v>
      </c>
      <c r="J32" s="58">
        <f>VLOOKUP($D32,HData!$A$2:$AE$219,J$3,FALSE)</f>
        <v>-0.60980000000000001</v>
      </c>
      <c r="K32" s="58">
        <f>VLOOKUP($D32,HData!$A$2:$AE$219,K$3,FALSE)</f>
        <v>-0.15049999999999999</v>
      </c>
      <c r="L32" s="58">
        <f>VLOOKUP($D32,HData!$A$2:$AE$219,L$3,FALSE)</f>
        <v>-5.13E-3</v>
      </c>
      <c r="M32" s="58">
        <f>VLOOKUP($D32,HData!$A$2:$AE$219,M$3,FALSE)</f>
        <v>3.7499999999999999E-2</v>
      </c>
      <c r="N32" s="58">
        <f>VLOOKUP($D32,HData!$A$2:$AE$219,N$3,FALSE)</f>
        <v>2.63E-2</v>
      </c>
      <c r="O32" s="58">
        <f>VLOOKUP($D32,HData!$A$2:$AE$219,O$3,FALSE)</f>
        <v>2.18E-2</v>
      </c>
      <c r="P32" s="58">
        <f>VLOOKUP($D32,HData!$A$2:$AE$219,P$3,FALSE)</f>
        <v>0.1201</v>
      </c>
      <c r="Q32" s="58">
        <f>VLOOKUP($D32,HData!$A$2:$AE$219,Q$3,FALSE)</f>
        <v>0.1613</v>
      </c>
      <c r="R32" s="58">
        <f>VLOOKUP($D32,HData!$A$2:$AE$219,R$3,FALSE)</f>
        <v>9.0100000000000006E-3</v>
      </c>
      <c r="S32" s="58">
        <f>VLOOKUP($D32,HData!$A$2:$AE$219,S$3,FALSE)</f>
        <v>0.14230000000000001</v>
      </c>
      <c r="T32" s="58">
        <f>VLOOKUP($D32,HData!$A$2:$AE$219,T$3,FALSE)</f>
        <v>4.2999999999999997E-2</v>
      </c>
      <c r="U32" s="58">
        <f>VLOOKUP($D32,HData!$A$2:$AE$219,U$3,FALSE)</f>
        <v>3.95E-2</v>
      </c>
      <c r="V32" s="58">
        <f>VLOOKUP($D32,HData!$A$2:$AE$219,V$3,FALSE)</f>
        <v>0.1148</v>
      </c>
      <c r="W32" s="46"/>
      <c r="X32" s="61">
        <f>AVERAGE(BE32:BI32)</f>
        <v>5.5207901821242329</v>
      </c>
      <c r="Y32" s="61">
        <f>(H32-I32)/I32</f>
        <v>-1.5005549389567145</v>
      </c>
      <c r="Z32" s="61">
        <f>(H32-L32)/L32</f>
        <v>7.7914230019493171</v>
      </c>
      <c r="AA32" s="61">
        <f>(H32-Q32)/Q32</f>
        <v>-1.2796032238065715</v>
      </c>
      <c r="AB32" s="6"/>
      <c r="AC32" s="6"/>
      <c r="AD32" s="6"/>
      <c r="AE32" s="6"/>
      <c r="AF32" s="6"/>
      <c r="AG32" s="6"/>
      <c r="AH32" s="6"/>
      <c r="AI32" s="6"/>
      <c r="AJ32" s="6"/>
      <c r="AK32" s="6"/>
      <c r="AL32" s="6"/>
      <c r="AM32" s="6"/>
      <c r="AN32" s="6"/>
      <c r="AO32" s="6"/>
      <c r="AP32" s="6"/>
      <c r="AQ32" s="6"/>
      <c r="AY32" s="3" t="s">
        <v>26</v>
      </c>
      <c r="BE32">
        <f t="shared" ref="BE32:BS36" si="39">(H32-I32)/I32</f>
        <v>-1.5005549389567145</v>
      </c>
      <c r="BF32">
        <f t="shared" si="39"/>
        <v>-1.1477533617579534</v>
      </c>
      <c r="BG32">
        <f t="shared" si="39"/>
        <v>3.0518272425249173</v>
      </c>
      <c r="BH32">
        <f t="shared" si="39"/>
        <v>28.337231968810915</v>
      </c>
      <c r="BI32">
        <f t="shared" si="39"/>
        <v>-1.1368</v>
      </c>
      <c r="BJ32">
        <f t="shared" si="39"/>
        <v>0.42585551330798471</v>
      </c>
      <c r="BK32">
        <f t="shared" si="39"/>
        <v>0.20642201834862386</v>
      </c>
      <c r="BL32">
        <f t="shared" si="39"/>
        <v>-0.81848459616985847</v>
      </c>
      <c r="BM32">
        <f t="shared" si="39"/>
        <v>-0.25542467451952883</v>
      </c>
      <c r="BN32">
        <f t="shared" si="39"/>
        <v>16.902330743618201</v>
      </c>
      <c r="BO32">
        <f t="shared" si="39"/>
        <v>-0.93668306394940271</v>
      </c>
      <c r="BP32">
        <f t="shared" si="39"/>
        <v>2.3093023255813958</v>
      </c>
      <c r="BQ32">
        <f t="shared" si="39"/>
        <v>8.8607594936708764E-2</v>
      </c>
      <c r="BR32">
        <f t="shared" si="39"/>
        <v>-0.6559233449477353</v>
      </c>
      <c r="BS32" t="e">
        <f t="shared" si="39"/>
        <v>#DIV/0!</v>
      </c>
    </row>
    <row r="33" spans="1:73" ht="15" customHeight="1" x14ac:dyDescent="0.2">
      <c r="A33" s="3" t="s">
        <v>30</v>
      </c>
      <c r="B33" s="61">
        <f>Statistics!B105</f>
        <v>-4.7800000000000002E-2</v>
      </c>
      <c r="C33" s="6"/>
      <c r="D33" s="42" t="s">
        <v>344</v>
      </c>
      <c r="E33" s="46"/>
      <c r="F33" s="58">
        <f>VLOOKUP(AY32,'12QData'!$A$5:$W$218,2,FALSE)</f>
        <v>-0.29680000000000001</v>
      </c>
      <c r="G33" s="60"/>
      <c r="H33" s="58">
        <f>VLOOKUP($D33,HData!$A$2:$AE$219,H$3,FALSE)</f>
        <v>-6.4000000000000001E-2</v>
      </c>
      <c r="I33" s="58">
        <f>VLOOKUP($D33,HData!$A$2:$AE$219,I$3,FALSE)</f>
        <v>0.19819999999999999</v>
      </c>
      <c r="J33" s="58">
        <f>VLOOKUP($D33,HData!$A$2:$AE$219,J$3,FALSE)</f>
        <v>3.8359999999999999</v>
      </c>
      <c r="K33" s="58">
        <f>VLOOKUP($D33,HData!$A$2:$AE$219,K$3,FALSE)</f>
        <v>-0.54700000000000004</v>
      </c>
      <c r="L33" s="58">
        <f>VLOOKUP($D33,HData!$A$2:$AE$219,L$3,FALSE)</f>
        <v>-1.3599999999999999E-2</v>
      </c>
      <c r="M33" s="58">
        <f>VLOOKUP($D33,HData!$A$2:$AE$219,M$3,FALSE)</f>
        <v>6.7599999999999993E-2</v>
      </c>
      <c r="N33" s="58">
        <f>VLOOKUP($D33,HData!$A$2:$AE$219,N$3,FALSE)</f>
        <v>4.2500000000000003E-2</v>
      </c>
      <c r="O33" s="58">
        <f>VLOOKUP($D33,HData!$A$2:$AE$219,O$3,FALSE)</f>
        <v>3.0800000000000001E-2</v>
      </c>
      <c r="P33" s="58">
        <f>VLOOKUP($D33,HData!$A$2:$AE$219,P$3,FALSE)</f>
        <v>0.16700000000000001</v>
      </c>
      <c r="Q33" s="58">
        <f>VLOOKUP($D33,HData!$A$2:$AE$219,Q$3,FALSE)</f>
        <v>0.23269999999999999</v>
      </c>
      <c r="R33" s="58">
        <f>VLOOKUP($D33,HData!$A$2:$AE$219,R$3,FALSE)</f>
        <v>1.55E-2</v>
      </c>
      <c r="S33" s="58">
        <f>VLOOKUP($D33,HData!$A$2:$AE$219,S$3,FALSE)</f>
        <v>0.26850000000000002</v>
      </c>
      <c r="T33" s="58">
        <f>VLOOKUP($D33,HData!$A$2:$AE$219,T$3,FALSE)</f>
        <v>0.1026</v>
      </c>
      <c r="U33" s="58">
        <f>VLOOKUP($D33,HData!$A$2:$AE$219,U$3,FALSE)</f>
        <v>0.1062</v>
      </c>
      <c r="V33" s="58">
        <f>VLOOKUP($D33,HData!$A$2:$AE$219,V$3,FALSE)</f>
        <v>0.29360000000000003</v>
      </c>
      <c r="X33" s="61">
        <f>AVERAGE(BE33:BI33)</f>
        <v>5.5470739955153388</v>
      </c>
      <c r="Y33" s="61">
        <f>(H33-I33)/I33</f>
        <v>-1.3229061553985872</v>
      </c>
      <c r="Z33" s="61">
        <f>(H33-L33)/L33</f>
        <v>3.7058823529411766</v>
      </c>
      <c r="AA33" s="61">
        <f>(H33-Q33)/Q33</f>
        <v>-1.2750322303394928</v>
      </c>
      <c r="AB33" s="6"/>
      <c r="AC33" s="6"/>
      <c r="AD33" s="6"/>
      <c r="AE33" s="6"/>
      <c r="AF33" s="6"/>
      <c r="AG33" s="6"/>
      <c r="AH33" s="6"/>
      <c r="AI33" s="6"/>
      <c r="AJ33" s="6"/>
      <c r="AK33" s="6"/>
      <c r="AL33" s="6"/>
      <c r="AM33" s="6"/>
      <c r="AN33" s="6"/>
      <c r="AO33" s="6"/>
      <c r="AP33" s="6"/>
      <c r="AQ33" s="6"/>
      <c r="AY33" s="3" t="s">
        <v>27</v>
      </c>
      <c r="BE33">
        <f t="shared" si="39"/>
        <v>-1.3229061553985872</v>
      </c>
      <c r="BF33">
        <f t="shared" si="39"/>
        <v>-0.94833159541188738</v>
      </c>
      <c r="BG33">
        <f t="shared" si="39"/>
        <v>-8.0127970749542961</v>
      </c>
      <c r="BH33">
        <f t="shared" si="39"/>
        <v>39.22058823529413</v>
      </c>
      <c r="BI33">
        <f t="shared" si="39"/>
        <v>-1.2011834319526629</v>
      </c>
      <c r="BJ33">
        <f t="shared" si="39"/>
        <v>0.59058823529411741</v>
      </c>
      <c r="BK33">
        <f t="shared" si="39"/>
        <v>0.37987012987012991</v>
      </c>
      <c r="BL33">
        <f t="shared" si="39"/>
        <v>-0.81556886227544911</v>
      </c>
      <c r="BM33">
        <f t="shared" si="39"/>
        <v>-0.28233777395788562</v>
      </c>
      <c r="BN33">
        <f t="shared" si="39"/>
        <v>14.012903225806452</v>
      </c>
      <c r="BO33">
        <f t="shared" si="39"/>
        <v>-0.94227188081936686</v>
      </c>
      <c r="BP33">
        <f t="shared" si="39"/>
        <v>1.6169590643274856</v>
      </c>
      <c r="BQ33">
        <f t="shared" si="39"/>
        <v>-3.3898305084745818E-2</v>
      </c>
      <c r="BR33">
        <f t="shared" si="39"/>
        <v>-0.63828337874659402</v>
      </c>
      <c r="BS33" t="e">
        <f t="shared" si="39"/>
        <v>#DIV/0!</v>
      </c>
    </row>
    <row r="34" spans="1:73" ht="16" customHeight="1" x14ac:dyDescent="0.2">
      <c r="A34" s="3" t="s">
        <v>31</v>
      </c>
      <c r="B34" s="61">
        <f>Statistics!B106</f>
        <v>-8.9999999999999998E-4</v>
      </c>
      <c r="C34" s="6"/>
      <c r="D34" s="42" t="s">
        <v>345</v>
      </c>
      <c r="E34" s="46"/>
      <c r="F34" s="58" t="str">
        <f>VLOOKUP(AY35,'12QData'!$A$5:$W$218,2,FALSE)</f>
        <v>-</v>
      </c>
      <c r="G34" s="60"/>
      <c r="H34" s="58">
        <f>VLOOKUP($D34,HData!$A$2:$AE$219,H$3,FALSE)</f>
        <v>-7.2700000000000001E-2</v>
      </c>
      <c r="I34" s="58">
        <f>VLOOKUP($D34,HData!$A$2:$AE$219,I$3,FALSE)</f>
        <v>-2.5899999999999999E-2</v>
      </c>
      <c r="J34" s="58">
        <f>VLOOKUP($D34,HData!$A$2:$AE$219,J$3,FALSE)</f>
        <v>-0.60960000000000003</v>
      </c>
      <c r="K34" s="58">
        <f>VLOOKUP($D34,HData!$A$2:$AE$219,K$3,FALSE)</f>
        <v>-0.24179999999999999</v>
      </c>
      <c r="L34" s="58">
        <f>VLOOKUP($D34,HData!$A$2:$AE$219,L$3,FALSE)</f>
        <v>-1.15E-2</v>
      </c>
      <c r="M34" s="58">
        <f>VLOOKUP($D34,HData!$A$2:$AE$219,M$3,FALSE)</f>
        <v>-1.5499999999999999E-3</v>
      </c>
      <c r="N34" s="58">
        <f>VLOOKUP($D34,HData!$A$2:$AE$219,N$3,FALSE)</f>
        <v>6.6600000000000001E-3</v>
      </c>
      <c r="O34" s="58">
        <f>VLOOKUP($D34,HData!$A$2:$AE$219,O$3,FALSE)</f>
        <v>0.1125</v>
      </c>
      <c r="P34" s="58">
        <f>VLOOKUP($D34,HData!$A$2:$AE$219,P$3,FALSE)</f>
        <v>0.18790000000000001</v>
      </c>
      <c r="Q34" s="58">
        <f>VLOOKUP($D34,HData!$A$2:$AE$219,Q$3,FALSE)</f>
        <v>0.27679999999999999</v>
      </c>
      <c r="R34" s="58">
        <f>VLOOKUP($D34,HData!$A$2:$AE$219,R$3,FALSE)</f>
        <v>1.41E-2</v>
      </c>
      <c r="S34" s="58">
        <f>VLOOKUP($D34,HData!$A$2:$AE$219,S$3,FALSE)</f>
        <v>5.5199999999999999E-2</v>
      </c>
      <c r="T34" s="58">
        <f>VLOOKUP($D34,HData!$A$2:$AE$219,T$3,FALSE)</f>
        <v>0.12790000000000001</v>
      </c>
      <c r="U34" s="58">
        <f>VLOOKUP($D34,HData!$A$2:$AE$219,U$3,FALSE)</f>
        <v>8.8599999999999998E-2</v>
      </c>
      <c r="V34" s="58">
        <f>VLOOKUP($D34,HData!$A$2:$AE$219,V$3,FALSE)</f>
        <v>0.25940000000000002</v>
      </c>
      <c r="W34" s="32"/>
      <c r="X34" s="61">
        <f>AVERAGE(BE34:BI34)</f>
        <v>5.7631940580472074</v>
      </c>
      <c r="Y34" s="61">
        <f>(H34-I34)/I34</f>
        <v>1.8069498069498071</v>
      </c>
      <c r="Z34" s="61">
        <f>(H34-L34)/L34</f>
        <v>5.321739130434783</v>
      </c>
      <c r="AA34" s="61">
        <f>(H34-Q34)/Q34</f>
        <v>-1.2626445086705202</v>
      </c>
      <c r="AB34" s="6"/>
      <c r="AC34" s="6"/>
      <c r="AD34" s="6"/>
      <c r="AE34" s="6"/>
      <c r="AF34" s="6"/>
      <c r="AG34" s="6"/>
      <c r="AH34" s="6"/>
      <c r="AI34" s="6"/>
      <c r="AJ34" s="6"/>
      <c r="AK34" s="6"/>
      <c r="AL34" s="6"/>
      <c r="AM34" s="6"/>
      <c r="AN34" s="6"/>
      <c r="AO34" s="6"/>
      <c r="AP34" s="6"/>
      <c r="AQ34" s="6"/>
      <c r="AY34" s="3" t="s">
        <v>28</v>
      </c>
      <c r="BE34">
        <f t="shared" si="39"/>
        <v>1.8069498069498071</v>
      </c>
      <c r="BF34">
        <f t="shared" si="39"/>
        <v>-0.95751312335958005</v>
      </c>
      <c r="BG34">
        <f t="shared" si="39"/>
        <v>1.5210918114143923</v>
      </c>
      <c r="BH34">
        <f t="shared" si="39"/>
        <v>20.026086956521738</v>
      </c>
      <c r="BI34">
        <f t="shared" si="39"/>
        <v>6.4193548387096779</v>
      </c>
      <c r="BJ34">
        <f t="shared" si="39"/>
        <v>-1.2327327327327327</v>
      </c>
      <c r="BK34">
        <f t="shared" si="39"/>
        <v>-0.94079999999999997</v>
      </c>
      <c r="BL34">
        <f t="shared" si="39"/>
        <v>-0.40127727514635447</v>
      </c>
      <c r="BM34">
        <f t="shared" si="39"/>
        <v>-0.32117052023121379</v>
      </c>
      <c r="BN34">
        <f t="shared" si="39"/>
        <v>18.631205673758863</v>
      </c>
      <c r="BO34">
        <f t="shared" si="39"/>
        <v>-0.74456521739130432</v>
      </c>
      <c r="BP34">
        <f t="shared" si="39"/>
        <v>-0.56841282251759195</v>
      </c>
      <c r="BQ34">
        <f t="shared" si="39"/>
        <v>0.44356659142212207</v>
      </c>
      <c r="BR34">
        <f t="shared" si="39"/>
        <v>-0.65844255975327681</v>
      </c>
      <c r="BS34" t="e">
        <f t="shared" si="39"/>
        <v>#DIV/0!</v>
      </c>
    </row>
    <row r="35" spans="1:73" ht="17" customHeight="1" x14ac:dyDescent="0.2">
      <c r="A35" s="22"/>
      <c r="B35" s="23"/>
      <c r="C35" s="6"/>
      <c r="D35" s="42" t="s">
        <v>346</v>
      </c>
      <c r="E35" s="46"/>
      <c r="F35" s="58">
        <f>VLOOKUP(AY34,'12QData'!$A$5:$W$218,2,FALSE)</f>
        <v>-0.19819999999999999</v>
      </c>
      <c r="G35" s="60"/>
      <c r="H35" s="58">
        <f>VLOOKUP($D35,HData!$A$2:$AE$219,H$3,FALSE)</f>
        <v>-4.3900000000000002E-2</v>
      </c>
      <c r="I35" s="58">
        <f>VLOOKUP($D35,HData!$A$2:$AE$219,I$3,FALSE)</f>
        <v>9.0300000000000005E-2</v>
      </c>
      <c r="J35" s="58">
        <f>VLOOKUP($D35,HData!$A$2:$AE$219,J$3,FALSE)</f>
        <v>-0.69199999999999995</v>
      </c>
      <c r="K35" s="58">
        <f>VLOOKUP($D35,HData!$A$2:$AE$219,K$3,FALSE)</f>
        <v>-0.16270000000000001</v>
      </c>
      <c r="L35" s="58">
        <f>VLOOKUP($D35,HData!$A$2:$AE$219,L$3,FALSE)</f>
        <v>-4.5900000000000003E-3</v>
      </c>
      <c r="M35" s="58">
        <f>VLOOKUP($D35,HData!$A$2:$AE$219,M$3,FALSE)</f>
        <v>-4.7299999999999998E-3</v>
      </c>
      <c r="N35" s="58">
        <f>VLOOKUP($D35,HData!$A$2:$AE$219,N$3,FALSE)</f>
        <v>8.9700000000000005E-3</v>
      </c>
      <c r="O35" s="58">
        <f>VLOOKUP($D35,HData!$A$2:$AE$219,O$3,FALSE)</f>
        <v>8.0799999999999997E-2</v>
      </c>
      <c r="P35" s="58">
        <f>VLOOKUP($D35,HData!$A$2:$AE$219,P$3,FALSE)</f>
        <v>0.48599999999999999</v>
      </c>
      <c r="Q35" s="58">
        <f>VLOOKUP($D35,HData!$A$2:$AE$219,Q$3,FALSE)</f>
        <v>0.53659999999999997</v>
      </c>
      <c r="R35" s="58">
        <f>VLOOKUP($D35,HData!$A$2:$AE$219,R$3,FALSE)</f>
        <v>1.0800000000000001E-2</v>
      </c>
      <c r="S35" s="58">
        <f>VLOOKUP($D35,HData!$A$2:$AE$219,S$3,FALSE)</f>
        <v>0.23369999999999999</v>
      </c>
      <c r="T35" s="58">
        <f>VLOOKUP($D35,HData!$A$2:$AE$219,T$3,FALSE)</f>
        <v>0.6462</v>
      </c>
      <c r="U35" s="58">
        <f>VLOOKUP($D35,HData!$A$2:$AE$219,U$3,FALSE)</f>
        <v>0.504</v>
      </c>
      <c r="V35" s="58">
        <f>VLOOKUP($D35,HData!$A$2:$AE$219,V$3,FALSE)</f>
        <v>1.929</v>
      </c>
      <c r="W35" s="32"/>
      <c r="X35" s="61">
        <f>AVERAGE(BE35:BI35)</f>
        <v>7.0107205999444586</v>
      </c>
      <c r="Y35" s="61">
        <f>(H35-I35)/I35</f>
        <v>-1.4861572535991141</v>
      </c>
      <c r="Z35" s="61">
        <f>(H35-L35)/L35</f>
        <v>8.5642701525054452</v>
      </c>
      <c r="AA35" s="61">
        <f>(H35-Q35)/Q35</f>
        <v>-1.0818114051434962</v>
      </c>
      <c r="AB35" s="6"/>
      <c r="AC35" s="6"/>
      <c r="AD35" s="6"/>
      <c r="AE35" s="6"/>
      <c r="AF35" s="6"/>
      <c r="AG35" s="6"/>
      <c r="AH35" s="6"/>
      <c r="AI35" s="6"/>
      <c r="AJ35" s="6"/>
      <c r="AK35" s="6"/>
      <c r="AL35" s="6"/>
      <c r="AM35" s="6"/>
      <c r="AN35" s="6"/>
      <c r="AO35" s="6"/>
      <c r="AP35" s="6"/>
      <c r="AQ35" s="6"/>
      <c r="AY35" s="3" t="s">
        <v>29</v>
      </c>
      <c r="BE35">
        <f t="shared" si="39"/>
        <v>-1.4861572535991141</v>
      </c>
      <c r="BF35">
        <f t="shared" si="39"/>
        <v>-1.1304913294797689</v>
      </c>
      <c r="BG35">
        <f t="shared" si="39"/>
        <v>3.2532267977873377</v>
      </c>
      <c r="BH35">
        <f t="shared" si="39"/>
        <v>34.446623093681914</v>
      </c>
      <c r="BI35">
        <f t="shared" si="39"/>
        <v>-2.9598308668076004E-2</v>
      </c>
      <c r="BJ35">
        <f t="shared" si="39"/>
        <v>-1.5273132664437012</v>
      </c>
      <c r="BK35">
        <f t="shared" si="39"/>
        <v>-0.88898514851485144</v>
      </c>
      <c r="BL35">
        <f t="shared" si="39"/>
        <v>-0.83374485596707826</v>
      </c>
      <c r="BM35">
        <f t="shared" si="39"/>
        <v>-9.4297428251956736E-2</v>
      </c>
      <c r="BN35">
        <f t="shared" si="39"/>
        <v>48.685185185185176</v>
      </c>
      <c r="BO35">
        <f t="shared" si="39"/>
        <v>-0.95378690629011553</v>
      </c>
      <c r="BP35">
        <f t="shared" si="39"/>
        <v>-0.63834726090993499</v>
      </c>
      <c r="BQ35">
        <f t="shared" si="39"/>
        <v>0.28214285714285714</v>
      </c>
      <c r="BR35">
        <f t="shared" si="39"/>
        <v>-0.73872472783825816</v>
      </c>
      <c r="BS35" t="e">
        <f t="shared" si="39"/>
        <v>#DIV/0!</v>
      </c>
    </row>
    <row r="36" spans="1:73" ht="14" customHeight="1" x14ac:dyDescent="0.2">
      <c r="A36" s="22"/>
      <c r="B36" s="23"/>
      <c r="C36" s="6"/>
      <c r="D36" s="42" t="s">
        <v>352</v>
      </c>
      <c r="E36" s="46"/>
      <c r="F36" s="58">
        <f>VLOOKUP(AY36,'12QData'!$A$5:$W$218,2,FALSE)</f>
        <v>0.02</v>
      </c>
      <c r="G36" s="60"/>
      <c r="H36" s="58">
        <f>VLOOKUP($D36,HData!$A$2:$AE$219,H$3,FALSE)</f>
        <v>1.7999999999999999E-2</v>
      </c>
      <c r="I36" s="58">
        <f>VLOOKUP($D36,HData!$A$2:$AE$219,I$3,FALSE)</f>
        <v>0.104</v>
      </c>
      <c r="J36" s="58">
        <f>VLOOKUP($D36,HData!$A$2:$AE$219,J$3,FALSE)</f>
        <v>0.20699999999999999</v>
      </c>
      <c r="K36" s="58">
        <f>VLOOKUP($D36,HData!$A$2:$AE$219,K$3,FALSE)</f>
        <v>0.14399999999999999</v>
      </c>
      <c r="L36" s="58">
        <f>VLOOKUP($D36,HData!$A$2:$AE$219,L$3,FALSE)</f>
        <v>0.32800000000000001</v>
      </c>
      <c r="M36" s="58">
        <f>VLOOKUP($D36,HData!$A$2:$AE$219,M$3,FALSE)</f>
        <v>0.53100000000000003</v>
      </c>
      <c r="N36" s="58">
        <f>VLOOKUP($D36,HData!$A$2:$AE$219,N$3,FALSE)</f>
        <v>0.58199999999999996</v>
      </c>
      <c r="O36" s="58">
        <f>VLOOKUP($D36,HData!$A$2:$AE$219,O$3,FALSE)</f>
        <v>0.60299999999999998</v>
      </c>
      <c r="P36" s="58">
        <f>VLOOKUP($D36,HData!$A$2:$AE$219,P$3,FALSE)</f>
        <v>0.66800000000000004</v>
      </c>
      <c r="Q36" s="58">
        <f>VLOOKUP($D36,HData!$A$2:$AE$219,Q$3,FALSE)</f>
        <v>0.80700000000000005</v>
      </c>
      <c r="R36" s="58">
        <f>VLOOKUP($D36,HData!$A$2:$AE$219,R$3,FALSE)</f>
        <v>1.04</v>
      </c>
      <c r="S36" s="58">
        <f>VLOOKUP($D36,HData!$A$2:$AE$219,S$3,FALSE)</f>
        <v>0.98399999999999999</v>
      </c>
      <c r="T36" s="58">
        <f>VLOOKUP($D36,HData!$A$2:$AE$219,T$3,FALSE)</f>
        <v>1.18</v>
      </c>
      <c r="U36" s="58">
        <f>VLOOKUP($D36,HData!$A$2:$AE$219,U$3,FALSE)</f>
        <v>1.18</v>
      </c>
      <c r="V36" s="58">
        <f>VLOOKUP($D36,HData!$A$2:$AE$219,V$3,FALSE)</f>
        <v>1.19</v>
      </c>
      <c r="W36" s="32"/>
      <c r="X36" s="61">
        <f>AVERAGE(BE36:BI36)</f>
        <v>-0.36605615590621071</v>
      </c>
      <c r="Y36" s="61">
        <f>(H36-I36)/I36</f>
        <v>-0.82692307692307687</v>
      </c>
      <c r="Z36" s="61">
        <f>(H36-L36)/L36</f>
        <v>-0.94512195121951215</v>
      </c>
      <c r="AA36" s="61">
        <f>(H36-Q36)/Q36</f>
        <v>-0.97769516728624528</v>
      </c>
      <c r="AB36" s="6"/>
      <c r="AC36" s="6"/>
      <c r="AD36" s="6"/>
      <c r="AE36" s="6"/>
      <c r="AF36" s="6"/>
      <c r="AG36" s="6"/>
      <c r="AH36" s="6"/>
      <c r="AI36" s="6"/>
      <c r="AJ36" s="6"/>
      <c r="AK36" s="6"/>
      <c r="AL36" s="6"/>
      <c r="AM36" s="6"/>
      <c r="AN36" s="6"/>
      <c r="AO36" s="6"/>
      <c r="AP36" s="6"/>
      <c r="AQ36" s="6"/>
      <c r="AY36" s="68" t="s">
        <v>176</v>
      </c>
      <c r="BE36">
        <f t="shared" si="39"/>
        <v>-0.82692307692307687</v>
      </c>
      <c r="BF36">
        <f t="shared" si="39"/>
        <v>-0.49758454106280192</v>
      </c>
      <c r="BG36">
        <f t="shared" si="39"/>
        <v>0.43750000000000006</v>
      </c>
      <c r="BH36">
        <f t="shared" si="39"/>
        <v>-0.56097560975609762</v>
      </c>
      <c r="BI36">
        <f t="shared" si="39"/>
        <v>-0.38229755178907721</v>
      </c>
      <c r="BJ36">
        <f t="shared" si="39"/>
        <v>-8.762886597938134E-2</v>
      </c>
      <c r="BK36">
        <f t="shared" si="39"/>
        <v>-3.4825870646766198E-2</v>
      </c>
      <c r="BL36">
        <f t="shared" si="39"/>
        <v>-9.7305389221556973E-2</v>
      </c>
      <c r="BM36">
        <f t="shared" si="39"/>
        <v>-0.17224287484510534</v>
      </c>
      <c r="BN36">
        <f t="shared" si="39"/>
        <v>-0.22403846153846152</v>
      </c>
      <c r="BO36">
        <f t="shared" si="39"/>
        <v>5.691056910569111E-2</v>
      </c>
      <c r="BP36">
        <f t="shared" si="39"/>
        <v>-0.1661016949152542</v>
      </c>
      <c r="BQ36">
        <f t="shared" si="39"/>
        <v>0</v>
      </c>
      <c r="BR36">
        <f t="shared" si="39"/>
        <v>-8.4033613445378234E-3</v>
      </c>
      <c r="BS36" t="e">
        <f t="shared" si="39"/>
        <v>#DIV/0!</v>
      </c>
    </row>
    <row r="37" spans="1:73" ht="15" customHeight="1" x14ac:dyDescent="0.2">
      <c r="A37" s="22"/>
      <c r="B37" s="23"/>
      <c r="C37" s="6"/>
      <c r="D37" s="53" t="s">
        <v>387</v>
      </c>
      <c r="E37" s="14"/>
      <c r="F37" s="59"/>
      <c r="G37" s="56"/>
      <c r="H37" s="55"/>
      <c r="I37" s="55"/>
      <c r="J37" s="55"/>
      <c r="K37" s="55"/>
      <c r="L37" s="55"/>
      <c r="M37" s="55"/>
      <c r="N37" s="55"/>
      <c r="O37" s="55"/>
      <c r="P37" s="55"/>
      <c r="Q37" s="55"/>
      <c r="R37" s="55"/>
      <c r="S37" s="55"/>
      <c r="T37" s="55"/>
      <c r="U37" s="55"/>
      <c r="V37" s="55"/>
      <c r="W37" s="32"/>
      <c r="X37" s="66"/>
      <c r="Y37" s="66"/>
      <c r="Z37" s="66"/>
      <c r="AA37" s="66"/>
      <c r="AB37" s="6"/>
      <c r="AC37" s="6"/>
      <c r="AD37" s="6"/>
      <c r="AE37" s="6"/>
      <c r="AF37" s="6"/>
      <c r="AG37" s="6"/>
      <c r="AH37" s="6"/>
      <c r="AI37" s="6"/>
      <c r="AJ37" s="6"/>
      <c r="AK37" s="6"/>
      <c r="AL37" s="6"/>
      <c r="AM37" s="6"/>
      <c r="AN37" s="6"/>
      <c r="AO37" s="6"/>
      <c r="AP37" s="6"/>
      <c r="AQ37" s="6"/>
      <c r="AY37" s="67" t="s">
        <v>387</v>
      </c>
    </row>
    <row r="38" spans="1:73" x14ac:dyDescent="0.2">
      <c r="A38" s="22"/>
      <c r="B38" s="23"/>
      <c r="C38" s="6"/>
      <c r="D38" s="42" t="s">
        <v>67</v>
      </c>
      <c r="E38" s="46"/>
      <c r="F38" s="51">
        <f>VLOOKUP(AY38,'12QData'!$A$5:$W$218,2,FALSE)</f>
        <v>0.66</v>
      </c>
      <c r="G38" s="56"/>
      <c r="H38" s="51">
        <f>VLOOKUP($D38,HData!$A$2:$AE$219,H$3,FALSE)</f>
        <v>0.71</v>
      </c>
      <c r="I38" s="51">
        <f>VLOOKUP($D38,HData!$A$2:$AE$219,I$3,FALSE)</f>
        <v>0.82899999999999996</v>
      </c>
      <c r="J38" s="51">
        <f>VLOOKUP($D38,HData!$A$2:$AE$219,J$3,FALSE)</f>
        <v>0.83399999999999996</v>
      </c>
      <c r="K38" s="51">
        <f>VLOOKUP($D38,HData!$A$2:$AE$219,K$3,FALSE)</f>
        <v>0.85899999999999999</v>
      </c>
      <c r="L38" s="51">
        <f>VLOOKUP($D38,HData!$A$2:$AE$219,L$3,FALSE)</f>
        <v>0.95399999999999996</v>
      </c>
      <c r="M38" s="51">
        <f>VLOOKUP($D38,HData!$A$2:$AE$219,M$3,FALSE)</f>
        <v>2.79</v>
      </c>
      <c r="N38" s="51">
        <f>VLOOKUP($D38,HData!$A$2:$AE$219,N$3,FALSE)</f>
        <v>3.01</v>
      </c>
      <c r="O38" s="51">
        <f>VLOOKUP($D38,HData!$A$2:$AE$219,O$3,FALSE)</f>
        <v>4.13</v>
      </c>
      <c r="P38" s="51">
        <f>VLOOKUP($D38,HData!$A$2:$AE$219,P$3,FALSE)</f>
        <v>3.69</v>
      </c>
      <c r="Q38" s="51">
        <f>VLOOKUP($D38,HData!$A$2:$AE$219,Q$3,FALSE)</f>
        <v>3.27</v>
      </c>
      <c r="R38" s="51">
        <f>VLOOKUP($D38,HData!$A$2:$AE$219,R$3,FALSE)</f>
        <v>2.34</v>
      </c>
      <c r="S38" s="51">
        <f>VLOOKUP($D38,HData!$A$2:$AE$219,S$3,FALSE)</f>
        <v>2.06</v>
      </c>
      <c r="T38" s="51">
        <f>VLOOKUP($D38,HData!$A$2:$AE$219,T$3,FALSE)</f>
        <v>1.65</v>
      </c>
      <c r="U38" s="51">
        <f>VLOOKUP($D38,HData!$A$2:$AE$219,U$3,FALSE)</f>
        <v>1.57</v>
      </c>
      <c r="V38" s="51">
        <f>VLOOKUP($D38,HData!$A$2:$AE$219,V$3,FALSE)</f>
        <v>1.59</v>
      </c>
      <c r="W38" s="32"/>
      <c r="X38" s="61">
        <f t="shared" ref="X38:X46" si="40">AVERAGE(BE38:BI38)</f>
        <v>-0.18725809661949958</v>
      </c>
      <c r="Y38" s="61">
        <f t="shared" ref="Y38:Y46" si="41">(H38-I38)/I38</f>
        <v>-0.14354644149577805</v>
      </c>
      <c r="Z38" s="61">
        <f t="shared" ref="Z38:Z46" si="42">(H38-L38)/L38</f>
        <v>-0.25576519916142559</v>
      </c>
      <c r="AA38" s="61">
        <f t="shared" ref="AA38:AA46" si="43">(H38-Q38)/Q38</f>
        <v>-0.78287461773700306</v>
      </c>
      <c r="AB38" s="6"/>
      <c r="AC38" s="6"/>
      <c r="AD38" s="6"/>
      <c r="AE38" s="6"/>
      <c r="AF38" s="6"/>
      <c r="AG38" s="6"/>
      <c r="AH38" s="6"/>
      <c r="AI38" s="6"/>
      <c r="AJ38" s="6"/>
      <c r="AK38" s="6"/>
      <c r="AL38" s="6"/>
      <c r="AM38" s="6"/>
      <c r="AN38" s="6"/>
      <c r="AO38" s="6"/>
      <c r="AP38" s="6"/>
      <c r="AQ38" s="6"/>
      <c r="AY38" s="3" t="s">
        <v>5</v>
      </c>
      <c r="BE38">
        <f t="shared" ref="BE38:BE46" si="44">(H38-I38)/I38</f>
        <v>-0.14354644149577805</v>
      </c>
      <c r="BF38">
        <f t="shared" ref="BF38:BF46" si="45">(I38-J38)/J38</f>
        <v>-5.9952038369304609E-3</v>
      </c>
      <c r="BG38">
        <f t="shared" ref="BG38:BG46" si="46">(J38-K38)/K38</f>
        <v>-2.9103608847497117E-2</v>
      </c>
      <c r="BH38">
        <f t="shared" ref="BH38:BH46" si="47">(K38-L38)/L38</f>
        <v>-9.9580712788259931E-2</v>
      </c>
      <c r="BI38">
        <f t="shared" ref="BI38:BI46" si="48">(L38-M38)/M38</f>
        <v>-0.65806451612903227</v>
      </c>
      <c r="BJ38">
        <f t="shared" ref="BJ38:BJ46" si="49">(M38-N38)/N38</f>
        <v>-7.3089700996677665E-2</v>
      </c>
      <c r="BK38">
        <f t="shared" ref="BK38:BK46" si="50">(N38-O38)/O38</f>
        <v>-0.27118644067796616</v>
      </c>
      <c r="BL38">
        <f t="shared" ref="BL38:BL46" si="51">(O38-P38)/P38</f>
        <v>0.1192411924119241</v>
      </c>
      <c r="BM38">
        <f t="shared" ref="BM38:BM46" si="52">(P38-Q38)/Q38</f>
        <v>0.12844036697247704</v>
      </c>
      <c r="BN38">
        <f t="shared" ref="BN38:BN46" si="53">(Q38-R38)/R38</f>
        <v>0.39743589743589752</v>
      </c>
      <c r="BO38">
        <f t="shared" ref="BO38:BO46" si="54">(R38-S38)/S38</f>
        <v>0.13592233009708729</v>
      </c>
      <c r="BP38">
        <f t="shared" ref="BP38:BP46" si="55">(S38-T38)/T38</f>
        <v>0.24848484848484859</v>
      </c>
      <c r="BQ38">
        <f t="shared" ref="BQ38:BQ46" si="56">(T38-U38)/U38</f>
        <v>5.0955414012738752E-2</v>
      </c>
      <c r="BR38">
        <f t="shared" ref="BR38:BR46" si="57">(U38-V38)/V38</f>
        <v>-1.2578616352201269E-2</v>
      </c>
      <c r="BS38" t="e">
        <f t="shared" ref="BS38:BS46" si="58">(V38-W38)/W38</f>
        <v>#DIV/0!</v>
      </c>
    </row>
    <row r="39" spans="1:73" x14ac:dyDescent="0.2">
      <c r="A39" s="22"/>
      <c r="B39" s="23"/>
      <c r="C39" s="6"/>
      <c r="D39" s="42" t="s">
        <v>68</v>
      </c>
      <c r="E39" s="46"/>
      <c r="F39" s="51">
        <f>VLOOKUP(AY39,'12QData'!$A$5:$W$218,2,FALSE)</f>
        <v>0.54</v>
      </c>
      <c r="G39" s="55"/>
      <c r="H39" s="51">
        <f>VLOOKUP($D39,HData!$A$2:$AE$219,H$3,FALSE)</f>
        <v>0.71</v>
      </c>
      <c r="I39" s="51">
        <f>VLOOKUP($D39,HData!$A$2:$AE$219,I$3,FALSE)</f>
        <v>0.82899999999999996</v>
      </c>
      <c r="J39" s="51">
        <f>VLOOKUP($D39,HData!$A$2:$AE$219,J$3,FALSE)</f>
        <v>0.83399999999999996</v>
      </c>
      <c r="K39" s="51">
        <f>VLOOKUP($D39,HData!$A$2:$AE$219,K$3,FALSE)</f>
        <v>0.85899999999999999</v>
      </c>
      <c r="L39" s="51">
        <f>VLOOKUP($D39,HData!$A$2:$AE$219,L$3,FALSE)</f>
        <v>0.95399999999999996</v>
      </c>
      <c r="M39" s="51">
        <f>VLOOKUP($D39,HData!$A$2:$AE$219,M$3,FALSE)</f>
        <v>2.79</v>
      </c>
      <c r="N39" s="51">
        <f>VLOOKUP($D39,HData!$A$2:$AE$219,N$3,FALSE)</f>
        <v>3.01</v>
      </c>
      <c r="O39" s="51">
        <f>VLOOKUP($D39,HData!$A$2:$AE$219,O$3,FALSE)</f>
        <v>4.13</v>
      </c>
      <c r="P39" s="51">
        <f>VLOOKUP($D39,HData!$A$2:$AE$219,P$3,FALSE)</f>
        <v>3.69</v>
      </c>
      <c r="Q39" s="51">
        <f>VLOOKUP($D39,HData!$A$2:$AE$219,Q$3,FALSE)</f>
        <v>3.27</v>
      </c>
      <c r="R39" s="51">
        <f>VLOOKUP($D39,HData!$A$2:$AE$219,R$3,FALSE)</f>
        <v>2.34</v>
      </c>
      <c r="S39" s="51">
        <f>VLOOKUP($D39,HData!$A$2:$AE$219,S$3,FALSE)</f>
        <v>2.06</v>
      </c>
      <c r="T39" s="51">
        <f>VLOOKUP($D39,HData!$A$2:$AE$219,T$3,FALSE)</f>
        <v>1.65</v>
      </c>
      <c r="U39" s="51">
        <f>VLOOKUP($D39,HData!$A$2:$AE$219,U$3,FALSE)</f>
        <v>1.57</v>
      </c>
      <c r="V39" s="51">
        <f>VLOOKUP($D39,HData!$A$2:$AE$219,V$3,FALSE)</f>
        <v>1.37</v>
      </c>
      <c r="W39" s="32"/>
      <c r="X39" s="61">
        <f t="shared" si="40"/>
        <v>-0.18725809661949958</v>
      </c>
      <c r="Y39" s="61">
        <f t="shared" si="41"/>
        <v>-0.14354644149577805</v>
      </c>
      <c r="Z39" s="61">
        <f t="shared" si="42"/>
        <v>-0.25576519916142559</v>
      </c>
      <c r="AA39" s="61">
        <f t="shared" si="43"/>
        <v>-0.78287461773700306</v>
      </c>
      <c r="AB39" s="6"/>
      <c r="AC39" s="6"/>
      <c r="AD39" s="6"/>
      <c r="AE39" s="6"/>
      <c r="AF39" s="6"/>
      <c r="AG39" s="6"/>
      <c r="AH39" s="6"/>
      <c r="AI39" s="6"/>
      <c r="AJ39" s="6"/>
      <c r="AK39" s="6"/>
      <c r="AL39" s="6"/>
      <c r="AM39" s="6"/>
      <c r="AN39" s="6"/>
      <c r="AO39" s="6"/>
      <c r="AP39" s="6"/>
      <c r="AQ39" s="6"/>
      <c r="AY39" s="3" t="s">
        <v>8</v>
      </c>
      <c r="BE39">
        <f t="shared" si="44"/>
        <v>-0.14354644149577805</v>
      </c>
      <c r="BF39">
        <f t="shared" si="45"/>
        <v>-5.9952038369304609E-3</v>
      </c>
      <c r="BG39">
        <f t="shared" si="46"/>
        <v>-2.9103608847497117E-2</v>
      </c>
      <c r="BH39">
        <f t="shared" si="47"/>
        <v>-9.9580712788259931E-2</v>
      </c>
      <c r="BI39">
        <f t="shared" si="48"/>
        <v>-0.65806451612903227</v>
      </c>
      <c r="BJ39">
        <f t="shared" si="49"/>
        <v>-7.3089700996677665E-2</v>
      </c>
      <c r="BK39">
        <f t="shared" si="50"/>
        <v>-0.27118644067796616</v>
      </c>
      <c r="BL39">
        <f t="shared" si="51"/>
        <v>0.1192411924119241</v>
      </c>
      <c r="BM39">
        <f t="shared" si="52"/>
        <v>0.12844036697247704</v>
      </c>
      <c r="BN39">
        <f t="shared" si="53"/>
        <v>0.39743589743589752</v>
      </c>
      <c r="BO39">
        <f t="shared" si="54"/>
        <v>0.13592233009708729</v>
      </c>
      <c r="BP39">
        <f t="shared" si="55"/>
        <v>0.24848484848484859</v>
      </c>
      <c r="BQ39">
        <f t="shared" si="56"/>
        <v>5.0955414012738752E-2</v>
      </c>
      <c r="BR39">
        <f t="shared" si="57"/>
        <v>0.14598540145985398</v>
      </c>
      <c r="BS39" t="e">
        <f t="shared" si="58"/>
        <v>#DIV/0!</v>
      </c>
    </row>
    <row r="40" spans="1:73" x14ac:dyDescent="0.2">
      <c r="A40" s="22"/>
      <c r="B40" s="23"/>
      <c r="C40" s="6"/>
      <c r="D40" s="42" t="s">
        <v>328</v>
      </c>
      <c r="E40" s="46"/>
      <c r="F40" s="51">
        <f>(F16)/VLOOKUP('12QData'!A83,'12QData'!$A$5:$W$218,2,FALSE)</f>
        <v>7.4078624078624073E-3</v>
      </c>
      <c r="G40" s="55"/>
      <c r="H40" s="51">
        <f>VLOOKUP($D40,HData!$A$2:$AE$219,H$3,FALSE)</f>
        <v>0.107</v>
      </c>
      <c r="I40" s="51">
        <f>VLOOKUP($D40,HData!$A$2:$AE$219,I$3,FALSE)</f>
        <v>0.14499999999999999</v>
      </c>
      <c r="J40" s="51">
        <f>VLOOKUP($D40,HData!$A$2:$AE$219,J$3,FALSE)</f>
        <v>0.13800000000000001</v>
      </c>
      <c r="K40" s="51">
        <f>VLOOKUP($D40,HData!$A$2:$AE$219,K$3,FALSE)</f>
        <v>0.20300000000000001</v>
      </c>
      <c r="L40" s="51">
        <f>VLOOKUP($D40,HData!$A$2:$AE$219,L$3,FALSE)</f>
        <v>0.20899999999999999</v>
      </c>
      <c r="M40" s="51">
        <f>VLOOKUP($D40,HData!$A$2:$AE$219,M$3,FALSE)</f>
        <v>1.69</v>
      </c>
      <c r="N40" s="51">
        <f>VLOOKUP($D40,HData!$A$2:$AE$219,N$3,FALSE)</f>
        <v>0.42599999999999999</v>
      </c>
      <c r="O40" s="51">
        <f>VLOOKUP($D40,HData!$A$2:$AE$219,O$3,FALSE)</f>
        <v>2.27</v>
      </c>
      <c r="P40" s="51">
        <f>VLOOKUP($D40,HData!$A$2:$AE$219,P$3,FALSE)</f>
        <v>2.17</v>
      </c>
      <c r="Q40" s="51">
        <f>VLOOKUP($D40,HData!$A$2:$AE$219,Q$3,FALSE)</f>
        <v>1.69</v>
      </c>
      <c r="R40" s="51">
        <f>VLOOKUP($D40,HData!$A$2:$AE$219,R$3,FALSE)</f>
        <v>0.745</v>
      </c>
      <c r="S40" s="51">
        <f>VLOOKUP($D40,HData!$A$2:$AE$219,S$3,FALSE)</f>
        <v>0.94299999999999995</v>
      </c>
      <c r="T40" s="51">
        <f>VLOOKUP($D40,HData!$A$2:$AE$219,T$3,FALSE)</f>
        <v>1.02</v>
      </c>
      <c r="U40" s="51">
        <f>VLOOKUP($D40,HData!$A$2:$AE$219,U$3,FALSE)</f>
        <v>0.91400000000000003</v>
      </c>
      <c r="V40" s="51">
        <f>VLOOKUP($D40,HData!$A$2:$AE$219,V$3,FALSE)</f>
        <v>0.93300000000000005</v>
      </c>
      <c r="X40" s="61">
        <f t="shared" si="40"/>
        <v>-0.28731617341781895</v>
      </c>
      <c r="Y40" s="61">
        <f t="shared" si="41"/>
        <v>-0.26206896551724135</v>
      </c>
      <c r="Z40" s="61">
        <f t="shared" si="42"/>
        <v>-0.48803827751196172</v>
      </c>
      <c r="AA40" s="61">
        <f t="shared" si="43"/>
        <v>-0.93668639053254443</v>
      </c>
      <c r="AB40" s="6"/>
      <c r="AC40" s="6"/>
      <c r="AD40" s="6"/>
      <c r="AE40" s="6"/>
      <c r="AF40" s="6"/>
      <c r="AG40" s="6"/>
      <c r="AH40" s="6"/>
      <c r="AI40" s="6"/>
      <c r="AJ40" s="6"/>
      <c r="AK40" s="6"/>
      <c r="AL40" s="6"/>
      <c r="AM40" s="6"/>
      <c r="AN40" s="6"/>
      <c r="AO40" s="6"/>
      <c r="AP40" s="6"/>
      <c r="AQ40" s="6"/>
      <c r="AY40" s="68" t="s">
        <v>328</v>
      </c>
      <c r="BE40">
        <f t="shared" si="44"/>
        <v>-0.26206896551724135</v>
      </c>
      <c r="BF40">
        <f t="shared" si="45"/>
        <v>5.0724637681159257E-2</v>
      </c>
      <c r="BG40">
        <f t="shared" si="46"/>
        <v>-0.32019704433497537</v>
      </c>
      <c r="BH40">
        <f t="shared" si="47"/>
        <v>-2.8708133971291759E-2</v>
      </c>
      <c r="BI40">
        <f t="shared" si="48"/>
        <v>-0.87633136094674546</v>
      </c>
      <c r="BJ40">
        <f t="shared" si="49"/>
        <v>2.967136150234742</v>
      </c>
      <c r="BK40">
        <f t="shared" si="50"/>
        <v>-0.81233480176211459</v>
      </c>
      <c r="BL40">
        <f t="shared" si="51"/>
        <v>4.6082949308755804E-2</v>
      </c>
      <c r="BM40">
        <f t="shared" si="52"/>
        <v>0.28402366863905326</v>
      </c>
      <c r="BN40">
        <f t="shared" si="53"/>
        <v>1.268456375838926</v>
      </c>
      <c r="BO40">
        <f t="shared" si="54"/>
        <v>-0.20996818663838809</v>
      </c>
      <c r="BP40">
        <f t="shared" si="55"/>
        <v>-7.5490196078431437E-2</v>
      </c>
      <c r="BQ40">
        <f t="shared" si="56"/>
        <v>0.11597374179431071</v>
      </c>
      <c r="BR40">
        <f t="shared" si="57"/>
        <v>-2.0364415862808162E-2</v>
      </c>
      <c r="BS40" t="e">
        <f t="shared" si="58"/>
        <v>#DIV/0!</v>
      </c>
    </row>
    <row r="41" spans="1:73" x14ac:dyDescent="0.2">
      <c r="A41" s="6"/>
      <c r="B41" s="6"/>
      <c r="C41" s="6"/>
      <c r="D41" s="42" t="s">
        <v>329</v>
      </c>
      <c r="E41" s="46"/>
      <c r="F41" s="51">
        <f>(VLOOKUP(BC52,'12QData'!$A$5:$W$218,2,FALSE))/F18</f>
        <v>3.7672687332194289E-2</v>
      </c>
      <c r="G41" s="55"/>
      <c r="H41" s="51">
        <f>VLOOKUP($D41,HData!$A$2:$AE$219,H$3,FALSE)</f>
        <v>0.28000000000000003</v>
      </c>
      <c r="I41" s="51">
        <f>VLOOKUP($D41,HData!$A$2:$AE$219,I$3,FALSE)</f>
        <v>0.47299999999999998</v>
      </c>
      <c r="J41" s="51">
        <f>VLOOKUP($D41,HData!$A$2:$AE$219,J$3,FALSE)</f>
        <v>1.01</v>
      </c>
      <c r="K41" s="51">
        <f>VLOOKUP($D41,HData!$A$2:$AE$219,K$3,FALSE)</f>
        <v>0.627</v>
      </c>
      <c r="L41" s="51">
        <f>VLOOKUP($D41,HData!$A$2:$AE$219,L$3,FALSE)</f>
        <v>0.38900000000000001</v>
      </c>
      <c r="M41" s="51">
        <f>VLOOKUP($D41,HData!$A$2:$AE$219,M$3,FALSE)</f>
        <v>0.113</v>
      </c>
      <c r="N41" s="51">
        <f>VLOOKUP($D41,HData!$A$2:$AE$219,N$3,FALSE)</f>
        <v>0</v>
      </c>
      <c r="O41" s="51">
        <f>VLOOKUP($D41,HData!$A$2:$AE$219,O$3,FALSE)</f>
        <v>0</v>
      </c>
      <c r="P41" s="51">
        <f>VLOOKUP($D41,HData!$A$2:$AE$219,P$3,FALSE)</f>
        <v>0</v>
      </c>
      <c r="Q41" s="51">
        <f>VLOOKUP($D41,HData!$A$2:$AE$219,Q$3,FALSE)</f>
        <v>0</v>
      </c>
      <c r="R41" s="51">
        <f>VLOOKUP($D41,HData!$A$2:$AE$219,R$3,FALSE)</f>
        <v>0</v>
      </c>
      <c r="S41" s="51">
        <f>VLOOKUP($D41,HData!$A$2:$AE$219,S$3,FALSE)</f>
        <v>0</v>
      </c>
      <c r="T41" s="51" t="str">
        <f>VLOOKUP($D41,HData!$A$2:$AE$219,T$3,FALSE)</f>
        <v>None</v>
      </c>
      <c r="U41" s="51">
        <f>VLOOKUP($D41,HData!$A$2:$AE$219,U$3,FALSE)</f>
        <v>0</v>
      </c>
      <c r="V41" s="51">
        <f>VLOOKUP($D41,HData!$A$2:$AE$219,V$3,FALSE)</f>
        <v>0</v>
      </c>
      <c r="X41" s="61">
        <f t="shared" si="40"/>
        <v>0.54508627380175267</v>
      </c>
      <c r="Y41" s="61">
        <f t="shared" si="41"/>
        <v>-0.4080338266384777</v>
      </c>
      <c r="Z41" s="61">
        <f t="shared" si="42"/>
        <v>-0.28020565552699223</v>
      </c>
      <c r="AA41" s="61" t="e">
        <f t="shared" si="43"/>
        <v>#DIV/0!</v>
      </c>
      <c r="AB41" s="6"/>
      <c r="AC41" s="6"/>
      <c r="AD41" s="6"/>
      <c r="AE41" s="6"/>
      <c r="AF41" s="6"/>
      <c r="AG41" s="6"/>
      <c r="AH41" s="6"/>
      <c r="AI41" s="6"/>
      <c r="AJ41" s="6"/>
      <c r="AK41" s="6"/>
      <c r="AL41" s="6"/>
      <c r="AM41" s="6"/>
      <c r="AN41" s="6"/>
      <c r="AO41" s="6"/>
      <c r="AP41" s="6"/>
      <c r="AQ41" s="6"/>
      <c r="AY41" s="68" t="s">
        <v>329</v>
      </c>
      <c r="BE41">
        <f t="shared" si="44"/>
        <v>-0.4080338266384777</v>
      </c>
      <c r="BF41">
        <f t="shared" si="45"/>
        <v>-0.53168316831683171</v>
      </c>
      <c r="BG41">
        <f t="shared" si="46"/>
        <v>0.61084529505582141</v>
      </c>
      <c r="BH41">
        <f t="shared" si="47"/>
        <v>0.61182519280205649</v>
      </c>
      <c r="BI41">
        <f t="shared" si="48"/>
        <v>2.4424778761061949</v>
      </c>
      <c r="BJ41" t="e">
        <f t="shared" si="49"/>
        <v>#DIV/0!</v>
      </c>
      <c r="BK41" t="e">
        <f t="shared" si="50"/>
        <v>#DIV/0!</v>
      </c>
      <c r="BL41" t="e">
        <f t="shared" si="51"/>
        <v>#DIV/0!</v>
      </c>
      <c r="BM41" t="e">
        <f t="shared" si="52"/>
        <v>#DIV/0!</v>
      </c>
      <c r="BN41" t="e">
        <f t="shared" si="53"/>
        <v>#DIV/0!</v>
      </c>
      <c r="BO41" t="e">
        <f t="shared" si="54"/>
        <v>#DIV/0!</v>
      </c>
      <c r="BP41" t="e">
        <f t="shared" si="55"/>
        <v>#VALUE!</v>
      </c>
      <c r="BQ41" t="e">
        <f t="shared" si="56"/>
        <v>#VALUE!</v>
      </c>
      <c r="BR41" t="e">
        <f t="shared" si="57"/>
        <v>#DIV/0!</v>
      </c>
      <c r="BS41" t="e">
        <f t="shared" si="58"/>
        <v>#DIV/0!</v>
      </c>
    </row>
    <row r="42" spans="1:73" s="8" customFormat="1" x14ac:dyDescent="0.2">
      <c r="A42" s="6"/>
      <c r="B42" s="6"/>
      <c r="C42" s="6"/>
      <c r="D42" s="42" t="s">
        <v>330</v>
      </c>
      <c r="E42" s="46"/>
      <c r="F42" s="51">
        <f>B23</f>
        <v>0.24</v>
      </c>
      <c r="G42" s="55"/>
      <c r="H42" s="51">
        <f>VLOOKUP($D42,HData!$A$2:$AE$219,H$3,FALSE)</f>
        <v>0.39800000000000002</v>
      </c>
      <c r="I42" s="51">
        <f>VLOOKUP($D42,HData!$A$2:$AE$219,I$3,FALSE)</f>
        <v>1.04</v>
      </c>
      <c r="J42" s="51">
        <f>VLOOKUP($D42,HData!$A$2:$AE$219,J$3,FALSE)</f>
        <v>-6.39</v>
      </c>
      <c r="K42" s="51">
        <f>VLOOKUP($D42,HData!$A$2:$AE$219,K$3,FALSE)</f>
        <v>2.2799999999999998</v>
      </c>
      <c r="L42" s="51">
        <f>VLOOKUP($D42,HData!$A$2:$AE$219,L$3,FALSE)</f>
        <v>1.03</v>
      </c>
      <c r="M42" s="51">
        <f>VLOOKUP($D42,HData!$A$2:$AE$219,M$3,FALSE)</f>
        <v>0.20300000000000001</v>
      </c>
      <c r="N42" s="51">
        <f>VLOOKUP($D42,HData!$A$2:$AE$219,N$3,FALSE)</f>
        <v>0</v>
      </c>
      <c r="O42" s="51">
        <f>VLOOKUP($D42,HData!$A$2:$AE$219,O$3,FALSE)</f>
        <v>0</v>
      </c>
      <c r="P42" s="51">
        <f>VLOOKUP($D42,HData!$A$2:$AE$219,P$3,FALSE)</f>
        <v>0</v>
      </c>
      <c r="Q42" s="51">
        <f>VLOOKUP($D42,HData!$A$2:$AE$219,Q$3,FALSE)</f>
        <v>0</v>
      </c>
      <c r="R42" s="51">
        <f>VLOOKUP($D42,HData!$A$2:$AE$219,R$3,FALSE)</f>
        <v>0</v>
      </c>
      <c r="S42" s="51">
        <f>VLOOKUP($D42,HData!$A$2:$AE$219,S$3,FALSE)</f>
        <v>0</v>
      </c>
      <c r="T42" s="51" t="str">
        <f>VLOOKUP($D42,HData!$A$2:$AE$219,T$3,FALSE)</f>
        <v>None</v>
      </c>
      <c r="U42" s="51">
        <f>VLOOKUP($D42,HData!$A$2:$AE$219,U$3,FALSE)</f>
        <v>0</v>
      </c>
      <c r="V42" s="51">
        <f>VLOOKUP($D42,HData!$A$2:$AE$219,V$3,FALSE)</f>
        <v>0</v>
      </c>
      <c r="W42" s="32"/>
      <c r="X42" s="61">
        <f t="shared" si="40"/>
        <v>-5.9041943245792615E-2</v>
      </c>
      <c r="Y42" s="61">
        <f t="shared" si="41"/>
        <v>-0.61730769230769234</v>
      </c>
      <c r="Z42" s="61">
        <f t="shared" si="42"/>
        <v>-0.61359223300970878</v>
      </c>
      <c r="AA42" s="61" t="e">
        <f t="shared" si="43"/>
        <v>#DIV/0!</v>
      </c>
      <c r="AB42" s="6"/>
      <c r="AC42" s="6"/>
      <c r="AD42" s="6"/>
      <c r="AE42" s="6"/>
      <c r="AF42" s="6"/>
      <c r="AG42" s="6"/>
      <c r="AH42" s="6"/>
      <c r="AI42" s="6"/>
      <c r="AJ42" s="6"/>
      <c r="AK42" s="6"/>
      <c r="AL42" s="6"/>
      <c r="AM42" s="6"/>
      <c r="AN42" s="6"/>
      <c r="AO42" s="6"/>
      <c r="AP42" s="6"/>
      <c r="AQ42" s="6"/>
      <c r="AR42"/>
      <c r="AS42"/>
      <c r="AT42"/>
      <c r="AU42"/>
      <c r="AV42"/>
      <c r="AW42"/>
      <c r="AX42"/>
      <c r="AY42" s="68" t="s">
        <v>330</v>
      </c>
      <c r="AZ42"/>
      <c r="BA42"/>
      <c r="BB42"/>
      <c r="BD42"/>
      <c r="BE42">
        <f t="shared" si="44"/>
        <v>-0.61730769230769234</v>
      </c>
      <c r="BF42">
        <f t="shared" si="45"/>
        <v>-1.1627543035993739</v>
      </c>
      <c r="BG42">
        <f t="shared" si="46"/>
        <v>-3.8026315789473686</v>
      </c>
      <c r="BH42">
        <f t="shared" si="47"/>
        <v>1.2135922330097084</v>
      </c>
      <c r="BI42">
        <f t="shared" si="48"/>
        <v>4.0738916256157633</v>
      </c>
      <c r="BJ42" t="e">
        <f t="shared" si="49"/>
        <v>#DIV/0!</v>
      </c>
      <c r="BK42" t="e">
        <f t="shared" si="50"/>
        <v>#DIV/0!</v>
      </c>
      <c r="BL42" t="e">
        <f t="shared" si="51"/>
        <v>#DIV/0!</v>
      </c>
      <c r="BM42" t="e">
        <f t="shared" si="52"/>
        <v>#DIV/0!</v>
      </c>
      <c r="BN42" t="e">
        <f t="shared" si="53"/>
        <v>#DIV/0!</v>
      </c>
      <c r="BO42" t="e">
        <f t="shared" si="54"/>
        <v>#DIV/0!</v>
      </c>
      <c r="BP42" t="e">
        <f t="shared" si="55"/>
        <v>#VALUE!</v>
      </c>
      <c r="BQ42" t="e">
        <f t="shared" si="56"/>
        <v>#VALUE!</v>
      </c>
      <c r="BR42" t="e">
        <f t="shared" si="57"/>
        <v>#DIV/0!</v>
      </c>
      <c r="BS42" t="e">
        <f t="shared" si="58"/>
        <v>#DIV/0!</v>
      </c>
      <c r="BU42"/>
    </row>
    <row r="43" spans="1:73" x14ac:dyDescent="0.2">
      <c r="A43" s="22"/>
      <c r="B43" s="23"/>
      <c r="C43" s="6"/>
      <c r="D43" s="42" t="s">
        <v>384</v>
      </c>
      <c r="F43" s="50">
        <f>F18/F10</f>
        <v>-1.0835757736048663</v>
      </c>
      <c r="G43" s="62"/>
      <c r="H43" s="50">
        <f t="shared" ref="H43:V43" si="59">H18/H10</f>
        <v>-3.9553133514986376</v>
      </c>
      <c r="I43" s="50">
        <f t="shared" si="59"/>
        <v>-22.427860696517413</v>
      </c>
      <c r="J43" s="50">
        <f t="shared" si="59"/>
        <v>-1.933596837944664</v>
      </c>
      <c r="K43" s="50">
        <f t="shared" si="59"/>
        <v>-2.8867046042421105</v>
      </c>
      <c r="L43" s="50">
        <f t="shared" si="59"/>
        <v>-1947.7815699658706</v>
      </c>
      <c r="M43" s="50">
        <f t="shared" si="59"/>
        <v>13.623188405797103</v>
      </c>
      <c r="N43" s="50">
        <f t="shared" si="59"/>
        <v>0</v>
      </c>
      <c r="O43" s="50">
        <f t="shared" si="59"/>
        <v>0</v>
      </c>
      <c r="P43" s="50">
        <f t="shared" si="59"/>
        <v>0</v>
      </c>
      <c r="Q43" s="50">
        <f t="shared" si="59"/>
        <v>0</v>
      </c>
      <c r="R43" s="50">
        <f t="shared" si="59"/>
        <v>0</v>
      </c>
      <c r="S43" s="50">
        <f t="shared" si="59"/>
        <v>0</v>
      </c>
      <c r="T43" s="50" t="e">
        <f t="shared" si="59"/>
        <v>#VALUE!</v>
      </c>
      <c r="U43" s="50">
        <f t="shared" si="59"/>
        <v>0</v>
      </c>
      <c r="V43" s="50">
        <f t="shared" si="59"/>
        <v>0</v>
      </c>
      <c r="W43" s="32"/>
      <c r="X43" s="61">
        <f t="shared" si="40"/>
        <v>-27.105750267428942</v>
      </c>
      <c r="Y43" s="61">
        <f t="shared" si="41"/>
        <v>-0.82364286076947069</v>
      </c>
      <c r="Z43" s="61">
        <f t="shared" si="42"/>
        <v>-0.99796932396707705</v>
      </c>
      <c r="AA43" s="61" t="e">
        <f t="shared" si="43"/>
        <v>#DIV/0!</v>
      </c>
      <c r="AB43" s="6"/>
      <c r="AC43" s="6"/>
      <c r="AD43" s="6"/>
      <c r="AE43" s="6"/>
      <c r="AF43" s="6"/>
      <c r="AG43" s="6"/>
      <c r="AH43" s="6"/>
      <c r="AI43" s="6"/>
      <c r="AJ43" s="6"/>
      <c r="AK43" s="6"/>
      <c r="AL43" s="6"/>
      <c r="AM43" s="6"/>
      <c r="AN43" s="6"/>
      <c r="AO43" s="6"/>
      <c r="AP43" s="6"/>
      <c r="AQ43" s="6"/>
      <c r="AY43" s="68" t="s">
        <v>384</v>
      </c>
      <c r="BE43">
        <f t="shared" si="44"/>
        <v>-0.82364286076947069</v>
      </c>
      <c r="BF43">
        <f t="shared" si="45"/>
        <v>10.599036705271681</v>
      </c>
      <c r="BG43">
        <f t="shared" si="46"/>
        <v>-0.33017156133565667</v>
      </c>
      <c r="BH43">
        <f t="shared" si="47"/>
        <v>-0.99851795260374465</v>
      </c>
      <c r="BI43">
        <f t="shared" si="48"/>
        <v>-143.97545566770751</v>
      </c>
      <c r="BJ43" t="e">
        <f t="shared" si="49"/>
        <v>#DIV/0!</v>
      </c>
      <c r="BK43" t="e">
        <f t="shared" si="50"/>
        <v>#DIV/0!</v>
      </c>
      <c r="BL43" t="e">
        <f t="shared" si="51"/>
        <v>#DIV/0!</v>
      </c>
      <c r="BM43" t="e">
        <f t="shared" si="52"/>
        <v>#DIV/0!</v>
      </c>
      <c r="BN43" t="e">
        <f t="shared" si="53"/>
        <v>#DIV/0!</v>
      </c>
      <c r="BO43" t="e">
        <f t="shared" si="54"/>
        <v>#DIV/0!</v>
      </c>
      <c r="BP43" t="e">
        <f t="shared" si="55"/>
        <v>#VALUE!</v>
      </c>
      <c r="BQ43" t="e">
        <f t="shared" si="56"/>
        <v>#VALUE!</v>
      </c>
      <c r="BR43" t="e">
        <f t="shared" si="57"/>
        <v>#DIV/0!</v>
      </c>
      <c r="BS43" t="e">
        <f t="shared" si="58"/>
        <v>#DIV/0!</v>
      </c>
    </row>
    <row r="44" spans="1:73" s="8" customFormat="1" x14ac:dyDescent="0.2">
      <c r="A44" s="22"/>
      <c r="B44" s="26"/>
      <c r="C44" s="6"/>
      <c r="D44" s="42" t="s">
        <v>385</v>
      </c>
      <c r="E44" s="6"/>
      <c r="F44" s="50">
        <f>F18/F26</f>
        <v>-78.276652655712638</v>
      </c>
      <c r="G44" s="62"/>
      <c r="H44" s="51">
        <f t="shared" ref="H44:V44" si="60">H18/H26</f>
        <v>-0.3278377523826731</v>
      </c>
      <c r="I44" s="50">
        <f t="shared" si="60"/>
        <v>-1.190702588483888</v>
      </c>
      <c r="J44" s="50">
        <f t="shared" si="60"/>
        <v>-8.5167130919220053</v>
      </c>
      <c r="K44" s="50">
        <f t="shared" si="60"/>
        <v>-0.88047337278106508</v>
      </c>
      <c r="L44" s="50">
        <f t="shared" si="60"/>
        <v>-0.53088372093023262</v>
      </c>
      <c r="M44" s="50">
        <f t="shared" si="60"/>
        <v>2.0398500690471497</v>
      </c>
      <c r="N44" s="50">
        <f t="shared" si="60"/>
        <v>0</v>
      </c>
      <c r="O44" s="50">
        <f t="shared" si="60"/>
        <v>0</v>
      </c>
      <c r="P44" s="50">
        <f t="shared" si="60"/>
        <v>0</v>
      </c>
      <c r="Q44" s="50">
        <f t="shared" si="60"/>
        <v>0</v>
      </c>
      <c r="R44" s="50">
        <f t="shared" si="60"/>
        <v>0</v>
      </c>
      <c r="S44" s="50">
        <f t="shared" si="60"/>
        <v>0</v>
      </c>
      <c r="T44" s="50" t="e">
        <f t="shared" si="60"/>
        <v>#VALUE!</v>
      </c>
      <c r="U44" s="50">
        <f t="shared" si="60"/>
        <v>0</v>
      </c>
      <c r="V44" s="50">
        <f t="shared" si="60"/>
        <v>0</v>
      </c>
      <c r="W44" s="32"/>
      <c r="X44" s="61">
        <f t="shared" si="40"/>
        <v>1.2972535562776391</v>
      </c>
      <c r="Y44" s="61">
        <f t="shared" si="41"/>
        <v>-0.72466864895279492</v>
      </c>
      <c r="Z44" s="61">
        <f t="shared" si="42"/>
        <v>-0.38246787487055628</v>
      </c>
      <c r="AA44" s="61" t="e">
        <f t="shared" si="43"/>
        <v>#DIV/0!</v>
      </c>
      <c r="AB44" s="6"/>
      <c r="AC44" s="6"/>
      <c r="AD44" s="6"/>
      <c r="AE44" s="6"/>
      <c r="AF44" s="6"/>
      <c r="AG44" s="6"/>
      <c r="AH44" s="6"/>
      <c r="AI44" s="6"/>
      <c r="AJ44" s="6"/>
      <c r="AK44" s="6"/>
      <c r="AL44" s="6"/>
      <c r="AM44" s="6"/>
      <c r="AN44" s="6"/>
      <c r="AO44" s="6"/>
      <c r="AP44" s="6"/>
      <c r="AQ44" s="6"/>
      <c r="AR44"/>
      <c r="AS44"/>
      <c r="AT44"/>
      <c r="AU44"/>
      <c r="AV44"/>
      <c r="AW44"/>
      <c r="AX44"/>
      <c r="AY44" s="68" t="s">
        <v>385</v>
      </c>
      <c r="AZ44"/>
      <c r="BA44"/>
      <c r="BB44"/>
      <c r="BD44"/>
      <c r="BE44">
        <f t="shared" si="44"/>
        <v>-0.72466864895279492</v>
      </c>
      <c r="BF44">
        <f t="shared" si="45"/>
        <v>-0.8601922389973129</v>
      </c>
      <c r="BG44">
        <f t="shared" si="46"/>
        <v>8.6728797885404507</v>
      </c>
      <c r="BH44">
        <f t="shared" si="47"/>
        <v>0.65850512658076898</v>
      </c>
      <c r="BI44">
        <f t="shared" si="48"/>
        <v>-1.2602562457829156</v>
      </c>
      <c r="BJ44" t="e">
        <f t="shared" si="49"/>
        <v>#DIV/0!</v>
      </c>
      <c r="BK44" t="e">
        <f t="shared" si="50"/>
        <v>#DIV/0!</v>
      </c>
      <c r="BL44" t="e">
        <f t="shared" si="51"/>
        <v>#DIV/0!</v>
      </c>
      <c r="BM44" t="e">
        <f t="shared" si="52"/>
        <v>#DIV/0!</v>
      </c>
      <c r="BN44" t="e">
        <f t="shared" si="53"/>
        <v>#DIV/0!</v>
      </c>
      <c r="BO44" t="e">
        <f t="shared" si="54"/>
        <v>#DIV/0!</v>
      </c>
      <c r="BP44" t="e">
        <f t="shared" si="55"/>
        <v>#VALUE!</v>
      </c>
      <c r="BQ44" t="e">
        <f t="shared" si="56"/>
        <v>#VALUE!</v>
      </c>
      <c r="BR44" t="e">
        <f t="shared" si="57"/>
        <v>#DIV/0!</v>
      </c>
      <c r="BS44" t="e">
        <f t="shared" si="58"/>
        <v>#DIV/0!</v>
      </c>
      <c r="BU44"/>
    </row>
    <row r="45" spans="1:73" ht="13" customHeight="1" x14ac:dyDescent="0.2">
      <c r="A45" s="22"/>
      <c r="B45" s="26"/>
      <c r="C45" s="6"/>
      <c r="D45" s="42" t="s">
        <v>333</v>
      </c>
      <c r="E45" s="46"/>
      <c r="F45" s="51">
        <f>B26</f>
        <v>-112.72</v>
      </c>
      <c r="G45" s="55"/>
      <c r="H45" s="51">
        <f>VLOOKUP($D45,HData!$A$2:$AE$219,H$3,FALSE)</f>
        <v>-29.92</v>
      </c>
      <c r="I45" s="51">
        <f>VLOOKUP($D45,HData!$A$2:$AE$219,I$3,FALSE)</f>
        <v>-2.35</v>
      </c>
      <c r="J45" s="51">
        <f>VLOOKUP($D45,HData!$A$2:$AE$219,J$3,FALSE)</f>
        <v>-24.01</v>
      </c>
      <c r="K45" s="51">
        <f>VLOOKUP($D45,HData!$A$2:$AE$219,K$3,FALSE)</f>
        <v>-26.91</v>
      </c>
      <c r="L45" s="51">
        <f>VLOOKUP($D45,HData!$A$2:$AE$219,L$3,FALSE)</f>
        <v>-7.51</v>
      </c>
      <c r="M45" s="51">
        <f>VLOOKUP($D45,HData!$A$2:$AE$219,M$3,FALSE)</f>
        <v>0</v>
      </c>
      <c r="N45" s="51">
        <f>VLOOKUP($D45,HData!$A$2:$AE$219,N$3,FALSE)</f>
        <v>0</v>
      </c>
      <c r="O45" s="51">
        <f>VLOOKUP($D45,HData!$A$2:$AE$219,O$3,FALSE)</f>
        <v>0</v>
      </c>
      <c r="P45" s="51">
        <f>VLOOKUP($D45,HData!$A$2:$AE$219,P$3,FALSE)</f>
        <v>0</v>
      </c>
      <c r="Q45" s="51">
        <f>VLOOKUP($D45,HData!$A$2:$AE$219,Q$3,FALSE)</f>
        <v>0</v>
      </c>
      <c r="R45" s="51">
        <f>VLOOKUP($D45,HData!$A$2:$AE$219,R$3,FALSE)</f>
        <v>0</v>
      </c>
      <c r="S45" s="51">
        <f>VLOOKUP($D45,HData!$A$2:$AE$219,S$3,FALSE)</f>
        <v>0</v>
      </c>
      <c r="T45" s="51">
        <f>VLOOKUP($D45,HData!$A$2:$AE$219,T$3,FALSE)</f>
        <v>0</v>
      </c>
      <c r="U45" s="51">
        <f>VLOOKUP($D45,HData!$A$2:$AE$219,U$3,FALSE)</f>
        <v>0</v>
      </c>
      <c r="V45" s="51">
        <f>VLOOKUP($D45,HData!$A$2:$AE$219,V$3,FALSE)</f>
        <v>0</v>
      </c>
      <c r="W45" s="32"/>
      <c r="X45" s="61" t="e">
        <f t="shared" si="40"/>
        <v>#DIV/0!</v>
      </c>
      <c r="Y45" s="61">
        <f t="shared" si="41"/>
        <v>11.73191489361702</v>
      </c>
      <c r="Z45" s="61">
        <f t="shared" si="42"/>
        <v>2.984021304926765</v>
      </c>
      <c r="AA45" s="61" t="e">
        <f t="shared" si="43"/>
        <v>#DIV/0!</v>
      </c>
      <c r="AB45" s="6"/>
      <c r="AC45" s="6"/>
      <c r="AD45" s="6"/>
      <c r="AE45" s="6"/>
      <c r="AF45" s="6"/>
      <c r="AG45" s="6"/>
      <c r="AH45" s="6"/>
      <c r="AI45" s="6"/>
      <c r="AJ45" s="6"/>
      <c r="AK45" s="6"/>
      <c r="AL45" s="6"/>
      <c r="AM45" s="6"/>
      <c r="AN45" s="6"/>
      <c r="AO45" s="6"/>
      <c r="AP45" s="6"/>
      <c r="AQ45" s="6"/>
      <c r="AY45" s="68" t="s">
        <v>333</v>
      </c>
      <c r="BE45">
        <f t="shared" si="44"/>
        <v>11.73191489361702</v>
      </c>
      <c r="BF45">
        <f t="shared" si="45"/>
        <v>-0.90212411495210321</v>
      </c>
      <c r="BG45">
        <f t="shared" si="46"/>
        <v>-0.10776662950575988</v>
      </c>
      <c r="BH45">
        <f t="shared" si="47"/>
        <v>2.5832223701731025</v>
      </c>
      <c r="BI45" t="e">
        <f t="shared" si="48"/>
        <v>#DIV/0!</v>
      </c>
      <c r="BJ45" t="e">
        <f t="shared" si="49"/>
        <v>#DIV/0!</v>
      </c>
      <c r="BK45" t="e">
        <f t="shared" si="50"/>
        <v>#DIV/0!</v>
      </c>
      <c r="BL45" t="e">
        <f t="shared" si="51"/>
        <v>#DIV/0!</v>
      </c>
      <c r="BM45" t="e">
        <f t="shared" si="52"/>
        <v>#DIV/0!</v>
      </c>
      <c r="BN45" t="e">
        <f t="shared" si="53"/>
        <v>#DIV/0!</v>
      </c>
      <c r="BO45" t="e">
        <f t="shared" si="54"/>
        <v>#DIV/0!</v>
      </c>
      <c r="BP45" t="e">
        <f t="shared" si="55"/>
        <v>#DIV/0!</v>
      </c>
      <c r="BQ45" t="e">
        <f t="shared" si="56"/>
        <v>#DIV/0!</v>
      </c>
      <c r="BR45" t="e">
        <f t="shared" si="57"/>
        <v>#DIV/0!</v>
      </c>
      <c r="BS45" t="e">
        <f t="shared" si="58"/>
        <v>#DIV/0!</v>
      </c>
    </row>
    <row r="46" spans="1:73" x14ac:dyDescent="0.2">
      <c r="A46" s="6"/>
      <c r="B46" s="23"/>
      <c r="C46" s="6"/>
      <c r="D46" s="42" t="s">
        <v>399</v>
      </c>
      <c r="E46" s="46"/>
      <c r="F46" s="51">
        <f>F17/F24</f>
        <v>1.3100280379407028</v>
      </c>
      <c r="G46" s="55"/>
      <c r="H46" s="51">
        <f>H17/H24</f>
        <v>1.4176631925397696</v>
      </c>
      <c r="I46" s="51">
        <f t="shared" ref="I46:V46" si="61">I17/I24</f>
        <v>2.2000000000000002</v>
      </c>
      <c r="J46" s="51">
        <f t="shared" si="61"/>
        <v>-6.2907856956408246</v>
      </c>
      <c r="K46" s="51">
        <f t="shared" si="61"/>
        <v>3.6332992849846781</v>
      </c>
      <c r="L46" s="51">
        <f t="shared" si="61"/>
        <v>2.6509945750452077</v>
      </c>
      <c r="M46" s="51">
        <f t="shared" si="61"/>
        <v>1.8022021234762091</v>
      </c>
      <c r="N46" s="51">
        <f t="shared" si="61"/>
        <v>1.6156314895223709</v>
      </c>
      <c r="O46" s="51">
        <f t="shared" si="61"/>
        <v>1.4152413209144794</v>
      </c>
      <c r="P46" s="51">
        <f t="shared" si="61"/>
        <v>1.3913437160449111</v>
      </c>
      <c r="Q46" s="51">
        <f t="shared" si="61"/>
        <v>1.4427849769382823</v>
      </c>
      <c r="R46" s="51">
        <f t="shared" si="61"/>
        <v>1.7220338983050847</v>
      </c>
      <c r="S46" s="51">
        <f t="shared" si="61"/>
        <v>1.8868836609732516</v>
      </c>
      <c r="T46" s="51">
        <f t="shared" si="61"/>
        <v>2.385921118322516</v>
      </c>
      <c r="U46" s="51">
        <f t="shared" si="61"/>
        <v>2.6857988165680471</v>
      </c>
      <c r="V46" s="51">
        <f t="shared" si="61"/>
        <v>2.5576407506702417</v>
      </c>
      <c r="W46" s="55"/>
      <c r="X46" s="61">
        <f t="shared" si="40"/>
        <v>-0.71904669808599864</v>
      </c>
      <c r="Y46" s="61">
        <f t="shared" si="41"/>
        <v>-0.35560763975465026</v>
      </c>
      <c r="Z46" s="61">
        <f t="shared" si="42"/>
        <v>-0.46523346147715372</v>
      </c>
      <c r="AA46" s="61">
        <f t="shared" si="43"/>
        <v>-1.7412008580671122E-2</v>
      </c>
      <c r="AB46" s="6"/>
      <c r="AC46" s="6"/>
      <c r="AD46" s="6"/>
      <c r="AE46" s="6"/>
      <c r="AF46" s="6"/>
      <c r="AG46" s="6"/>
      <c r="AH46" s="6"/>
      <c r="AI46" s="6"/>
      <c r="AJ46" s="6"/>
      <c r="AK46" s="6"/>
      <c r="AL46" s="6"/>
      <c r="AM46" s="6"/>
      <c r="AN46" s="6"/>
      <c r="AO46" s="6"/>
      <c r="AP46" s="6"/>
      <c r="AQ46" s="6"/>
      <c r="AY46" s="68" t="s">
        <v>399</v>
      </c>
      <c r="BE46">
        <f t="shared" si="44"/>
        <v>-0.35560763975465026</v>
      </c>
      <c r="BF46">
        <f t="shared" si="45"/>
        <v>-1.3497178423236513</v>
      </c>
      <c r="BG46">
        <f t="shared" si="46"/>
        <v>-2.7314251324240564</v>
      </c>
      <c r="BH46">
        <f t="shared" si="47"/>
        <v>0.3705419540221877</v>
      </c>
      <c r="BI46">
        <f t="shared" si="48"/>
        <v>0.47097517005017753</v>
      </c>
      <c r="BJ46">
        <f t="shared" si="49"/>
        <v>0.11547845852459467</v>
      </c>
      <c r="BK46">
        <f t="shared" si="50"/>
        <v>0.14159434553423467</v>
      </c>
      <c r="BL46">
        <f t="shared" si="51"/>
        <v>1.7175917491833396E-2</v>
      </c>
      <c r="BM46">
        <f t="shared" si="52"/>
        <v>-3.5654142311998642E-2</v>
      </c>
      <c r="BN46">
        <f t="shared" si="53"/>
        <v>-0.16216226732914704</v>
      </c>
      <c r="BO46">
        <f t="shared" si="54"/>
        <v>-8.7366150906801332E-2</v>
      </c>
      <c r="BP46">
        <f t="shared" si="55"/>
        <v>-0.20915924399886518</v>
      </c>
      <c r="BQ46">
        <f t="shared" si="56"/>
        <v>-0.11165307557500499</v>
      </c>
      <c r="BR46">
        <f t="shared" si="57"/>
        <v>5.0107923039707986E-2</v>
      </c>
      <c r="BS46" t="e">
        <f t="shared" si="58"/>
        <v>#DIV/0!</v>
      </c>
    </row>
    <row r="47" spans="1:73" ht="14" customHeight="1" x14ac:dyDescent="0.2">
      <c r="A47" s="25"/>
      <c r="B47" s="6"/>
      <c r="C47" s="6"/>
      <c r="D47" s="53" t="s">
        <v>39</v>
      </c>
      <c r="E47" s="14"/>
      <c r="F47" s="55"/>
      <c r="G47" s="56"/>
      <c r="H47" s="55"/>
      <c r="I47" s="55"/>
      <c r="J47" s="55"/>
      <c r="K47" s="55"/>
      <c r="L47" s="55"/>
      <c r="M47" s="55"/>
      <c r="N47" s="55"/>
      <c r="O47" s="55"/>
      <c r="P47" s="55"/>
      <c r="Q47" s="55"/>
      <c r="R47" s="55"/>
      <c r="S47" s="55"/>
      <c r="T47" s="55"/>
      <c r="U47" s="55"/>
      <c r="V47" s="55"/>
      <c r="W47" s="32"/>
      <c r="X47" s="66"/>
      <c r="Y47" s="66"/>
      <c r="Z47" s="66"/>
      <c r="AA47" s="66"/>
      <c r="AB47" s="6"/>
      <c r="AC47" s="6"/>
      <c r="AD47" s="6"/>
      <c r="AE47" s="6"/>
      <c r="AF47" s="6"/>
      <c r="AG47" s="6"/>
      <c r="AH47" s="6"/>
      <c r="AI47" s="6"/>
      <c r="AJ47" s="6"/>
      <c r="AK47" s="6"/>
      <c r="AL47" s="6"/>
      <c r="AM47" s="6"/>
      <c r="AN47" s="6"/>
      <c r="AO47" s="6"/>
      <c r="AP47" s="6"/>
      <c r="AQ47" s="6"/>
      <c r="AY47" s="67" t="s">
        <v>39</v>
      </c>
    </row>
    <row r="48" spans="1:73" x14ac:dyDescent="0.2">
      <c r="A48" s="22"/>
      <c r="B48" s="26"/>
      <c r="C48" s="23"/>
      <c r="D48" s="51" t="s">
        <v>265</v>
      </c>
      <c r="E48" s="32"/>
      <c r="F48" s="51">
        <f>VLOOKUP(AY48,'12QData'!$A$5:$W$218,2,FALSE)</f>
        <v>-25</v>
      </c>
      <c r="G48" s="55"/>
      <c r="H48" s="51">
        <f>VLOOKUP($D48,HData!$A$2:$AE$219,H$3,FALSE)</f>
        <v>-6.06</v>
      </c>
      <c r="I48" s="51">
        <f>VLOOKUP($D48,HData!$A$2:$AE$219,I$3,FALSE)</f>
        <v>3.2</v>
      </c>
      <c r="J48" s="51">
        <f>VLOOKUP($D48,HData!$A$2:$AE$219,J$3,FALSE)</f>
        <v>-12.98</v>
      </c>
      <c r="K48" s="51">
        <f>VLOOKUP($D48,HData!$A$2:$AE$219,K$3,FALSE)</f>
        <v>-5.34</v>
      </c>
      <c r="L48" s="51">
        <f>VLOOKUP($D48,HData!$A$2:$AE$219,L$3,FALSE)</f>
        <v>-7.8E-2</v>
      </c>
      <c r="M48" s="51">
        <f>VLOOKUP($D48,HData!$A$2:$AE$219,M$3,FALSE)</f>
        <v>0.34</v>
      </c>
      <c r="N48" s="51">
        <f>VLOOKUP($D48,HData!$A$2:$AE$219,N$3,FALSE)</f>
        <v>0.2</v>
      </c>
      <c r="O48" s="51">
        <f>VLOOKUP($D48,HData!$A$2:$AE$219,O$3,FALSE)</f>
        <v>0.16</v>
      </c>
      <c r="P48" s="51">
        <f>VLOOKUP($D48,HData!$A$2:$AE$219,P$3,FALSE)</f>
        <v>0.81</v>
      </c>
      <c r="Q48" s="51">
        <f>VLOOKUP($D48,HData!$A$2:$AE$219,Q$3,FALSE)</f>
        <v>0.93</v>
      </c>
      <c r="R48" s="51">
        <f>VLOOKUP($D48,HData!$A$2:$AE$219,R$3,FALSE)</f>
        <v>4.4999999999999998E-2</v>
      </c>
      <c r="S48" s="51">
        <f>VLOOKUP($D48,HData!$A$2:$AE$219,S$3,FALSE)</f>
        <v>0.74</v>
      </c>
      <c r="T48" s="51">
        <f>VLOOKUP($D48,HData!$A$2:$AE$219,T$3,FALSE)</f>
        <v>0.19</v>
      </c>
      <c r="U48" s="51">
        <f>VLOOKUP($D48,HData!$A$2:$AE$219,U$3,FALSE)</f>
        <v>0.17</v>
      </c>
      <c r="V48" s="51">
        <f>VLOOKUP($D48,HData!$A$2:$AE$219,V$3,FALSE)</f>
        <v>0.39</v>
      </c>
      <c r="W48" s="32"/>
      <c r="X48" s="61">
        <f>AVERAGE(BE48:BI48)</f>
        <v>12.704511035886082</v>
      </c>
      <c r="Y48" s="61">
        <f>(H48-I48)/I48</f>
        <v>-2.8937499999999998</v>
      </c>
      <c r="Z48" s="61">
        <f>(H48-L48)/L48</f>
        <v>76.692307692307679</v>
      </c>
      <c r="AA48" s="61">
        <f>(H48-Q48)/Q48</f>
        <v>-7.5161290322580632</v>
      </c>
      <c r="AB48" s="6"/>
      <c r="AC48" s="6"/>
      <c r="AD48" s="6"/>
      <c r="AE48" s="6"/>
      <c r="AF48" s="6"/>
      <c r="AG48" s="6"/>
      <c r="AH48" s="6"/>
      <c r="AI48" s="6"/>
      <c r="AJ48" s="6"/>
      <c r="AK48" s="6"/>
      <c r="AL48" s="6"/>
      <c r="AM48" s="6"/>
      <c r="AN48" s="6"/>
      <c r="AO48" s="6"/>
      <c r="AP48" s="6"/>
      <c r="AQ48" s="6"/>
      <c r="AY48" s="3" t="s">
        <v>33</v>
      </c>
      <c r="BE48">
        <f t="shared" ref="BE48:BS51" si="62">(H48-I48)/I48</f>
        <v>-2.8937499999999998</v>
      </c>
      <c r="BF48">
        <f t="shared" si="62"/>
        <v>-1.2465331278890601</v>
      </c>
      <c r="BG48">
        <f t="shared" si="62"/>
        <v>1.4307116104868915</v>
      </c>
      <c r="BH48">
        <f t="shared" si="62"/>
        <v>67.461538461538453</v>
      </c>
      <c r="BI48">
        <f t="shared" si="62"/>
        <v>-1.2294117647058824</v>
      </c>
      <c r="BJ48">
        <f t="shared" si="62"/>
        <v>0.70000000000000007</v>
      </c>
      <c r="BK48">
        <f t="shared" si="62"/>
        <v>0.25000000000000006</v>
      </c>
      <c r="BL48">
        <f t="shared" si="62"/>
        <v>-0.80246913580246915</v>
      </c>
      <c r="BM48">
        <f t="shared" si="62"/>
        <v>-0.12903225806451613</v>
      </c>
      <c r="BN48">
        <f t="shared" si="62"/>
        <v>19.666666666666668</v>
      </c>
      <c r="BO48">
        <f t="shared" si="62"/>
        <v>-0.93918918918918914</v>
      </c>
      <c r="BP48">
        <f t="shared" si="62"/>
        <v>2.8947368421052633</v>
      </c>
      <c r="BQ48">
        <f t="shared" si="62"/>
        <v>0.11764705882352934</v>
      </c>
      <c r="BR48">
        <f t="shared" si="62"/>
        <v>-0.5641025641025641</v>
      </c>
      <c r="BS48" t="e">
        <f t="shared" si="62"/>
        <v>#DIV/0!</v>
      </c>
    </row>
    <row r="49" spans="1:71" x14ac:dyDescent="0.2">
      <c r="A49" s="22"/>
      <c r="B49" s="26"/>
      <c r="C49" s="26"/>
      <c r="D49" s="51" t="s">
        <v>266</v>
      </c>
      <c r="E49" s="32"/>
      <c r="F49" s="51">
        <f>VLOOKUP(AY49,'12QData'!$A$5:$W$218,2,FALSE)</f>
        <v>-25</v>
      </c>
      <c r="G49" s="55"/>
      <c r="H49" s="51">
        <f>VLOOKUP($D49,HData!$A$2:$AE$219,H$3,FALSE)</f>
        <v>-6.06</v>
      </c>
      <c r="I49" s="51">
        <f>VLOOKUP($D49,HData!$A$2:$AE$219,I$3,FALSE)</f>
        <v>2.64</v>
      </c>
      <c r="J49" s="51">
        <f>VLOOKUP($D49,HData!$A$2:$AE$219,J$3,FALSE)</f>
        <v>-12.98</v>
      </c>
      <c r="K49" s="51">
        <f>VLOOKUP($D49,HData!$A$2:$AE$219,K$3,FALSE)</f>
        <v>-5.34</v>
      </c>
      <c r="L49" s="51">
        <f>VLOOKUP($D49,HData!$A$2:$AE$219,L$3,FALSE)</f>
        <v>-7.8E-2</v>
      </c>
      <c r="M49" s="51">
        <f>VLOOKUP($D49,HData!$A$2:$AE$219,M$3,FALSE)</f>
        <v>0.33</v>
      </c>
      <c r="N49" s="51">
        <f>VLOOKUP($D49,HData!$A$2:$AE$219,N$3,FALSE)</f>
        <v>0.2</v>
      </c>
      <c r="O49" s="51">
        <f>VLOOKUP($D49,HData!$A$2:$AE$219,O$3,FALSE)</f>
        <v>0.16</v>
      </c>
      <c r="P49" s="51">
        <f>VLOOKUP($D49,HData!$A$2:$AE$219,P$3,FALSE)</f>
        <v>0.8</v>
      </c>
      <c r="Q49" s="51">
        <f>VLOOKUP($D49,HData!$A$2:$AE$219,Q$3,FALSE)</f>
        <v>0.92</v>
      </c>
      <c r="R49" s="51">
        <f>VLOOKUP($D49,HData!$A$2:$AE$219,R$3,FALSE)</f>
        <v>4.3999999999999997E-2</v>
      </c>
      <c r="S49" s="51">
        <f>VLOOKUP($D49,HData!$A$2:$AE$219,S$3,FALSE)</f>
        <v>0.74</v>
      </c>
      <c r="T49" s="51">
        <f>VLOOKUP($D49,HData!$A$2:$AE$219,T$3,FALSE)</f>
        <v>0.18</v>
      </c>
      <c r="U49" s="51">
        <f>VLOOKUP($D49,HData!$A$2:$AE$219,U$3,FALSE)</f>
        <v>0.16</v>
      </c>
      <c r="V49" s="51">
        <f>VLOOKUP($D49,HData!$A$2:$AE$219,V$3,FALSE)</f>
        <v>0.37</v>
      </c>
      <c r="X49" s="61">
        <f>AVERAGE(BE49:BI49)</f>
        <v>12.63140841193974</v>
      </c>
      <c r="Y49" s="61">
        <f>(H49-I49)/I49</f>
        <v>-3.295454545454545</v>
      </c>
      <c r="Z49" s="61">
        <f>(H49-L49)/L49</f>
        <v>76.692307692307679</v>
      </c>
      <c r="AA49" s="61">
        <f>(H49-Q49)/Q49</f>
        <v>-7.5869565217391299</v>
      </c>
      <c r="AB49" s="6"/>
      <c r="AC49" s="6"/>
      <c r="AD49" s="6"/>
      <c r="AE49" s="6"/>
      <c r="AF49" s="6"/>
      <c r="AG49" s="6"/>
      <c r="AH49" s="6"/>
      <c r="AI49" s="6"/>
      <c r="AJ49" s="6"/>
      <c r="AK49" s="6"/>
      <c r="AL49" s="6"/>
      <c r="AM49" s="6"/>
      <c r="AN49" s="6"/>
      <c r="AO49" s="6"/>
      <c r="AP49" s="6"/>
      <c r="AQ49" s="6"/>
      <c r="AY49" s="3" t="s">
        <v>34</v>
      </c>
      <c r="BE49">
        <f t="shared" si="62"/>
        <v>-3.295454545454545</v>
      </c>
      <c r="BF49">
        <f t="shared" si="62"/>
        <v>-1.2033898305084747</v>
      </c>
      <c r="BG49">
        <f t="shared" si="62"/>
        <v>1.4307116104868915</v>
      </c>
      <c r="BH49">
        <f t="shared" si="62"/>
        <v>67.461538461538453</v>
      </c>
      <c r="BI49">
        <f t="shared" si="62"/>
        <v>-1.2363636363636363</v>
      </c>
      <c r="BJ49">
        <f t="shared" si="62"/>
        <v>0.65</v>
      </c>
      <c r="BK49">
        <f t="shared" si="62"/>
        <v>0.25000000000000006</v>
      </c>
      <c r="BL49">
        <f t="shared" si="62"/>
        <v>-0.79999999999999993</v>
      </c>
      <c r="BM49">
        <f t="shared" si="62"/>
        <v>-0.13043478260869565</v>
      </c>
      <c r="BN49">
        <f t="shared" si="62"/>
        <v>19.90909090909091</v>
      </c>
      <c r="BO49">
        <f t="shared" si="62"/>
        <v>-0.94054054054054048</v>
      </c>
      <c r="BP49">
        <f t="shared" si="62"/>
        <v>3.1111111111111116</v>
      </c>
      <c r="BQ49">
        <f t="shared" si="62"/>
        <v>0.12499999999999993</v>
      </c>
      <c r="BR49">
        <f t="shared" si="62"/>
        <v>-0.56756756756756754</v>
      </c>
      <c r="BS49" t="e">
        <f t="shared" si="62"/>
        <v>#DIV/0!</v>
      </c>
    </row>
    <row r="50" spans="1:71" x14ac:dyDescent="0.2">
      <c r="A50" s="22"/>
      <c r="B50" s="26"/>
      <c r="C50" s="23"/>
      <c r="D50" s="51" t="s">
        <v>18</v>
      </c>
      <c r="E50" s="32"/>
      <c r="F50" s="51">
        <f>VLOOKUP(AY50,'12QData'!$A$5:$W$218,2,FALSE)</f>
        <v>-0.49</v>
      </c>
      <c r="G50" s="55"/>
      <c r="H50" s="51">
        <f>VLOOKUP($D50,HData!$A$2:$AE$219,H$3,FALSE)</f>
        <v>-0.34499999999999997</v>
      </c>
      <c r="I50" s="51">
        <f>VLOOKUP($D50,HData!$A$2:$AE$219,I$3,FALSE)</f>
        <v>-13.84</v>
      </c>
      <c r="J50" s="51">
        <f>VLOOKUP($D50,HData!$A$2:$AE$219,J$3,FALSE)</f>
        <v>-2.54</v>
      </c>
      <c r="K50" s="51">
        <f>VLOOKUP($D50,HData!$A$2:$AE$219,K$3,FALSE)</f>
        <v>-25.3</v>
      </c>
      <c r="L50" s="51">
        <f>VLOOKUP($D50,HData!$A$2:$AE$219,L$3,FALSE)</f>
        <v>-11.1</v>
      </c>
      <c r="M50" s="51">
        <f>VLOOKUP($D50,HData!$A$2:$AE$219,M$3,FALSE)</f>
        <v>0.49399999999999999</v>
      </c>
      <c r="N50" s="51">
        <f>VLOOKUP($D50,HData!$A$2:$AE$219,N$3,FALSE)</f>
        <v>3.3000000000000002E-2</v>
      </c>
      <c r="O50" s="51">
        <f>VLOOKUP($D50,HData!$A$2:$AE$219,O$3,FALSE)</f>
        <v>0.65</v>
      </c>
      <c r="P50" s="51">
        <f>VLOOKUP($D50,HData!$A$2:$AE$219,P$3,FALSE)</f>
        <v>0.94799999999999995</v>
      </c>
      <c r="Q50" s="51">
        <f>VLOOKUP($D50,HData!$A$2:$AE$219,Q$3,FALSE)</f>
        <v>1.2</v>
      </c>
      <c r="R50" s="51">
        <f>VLOOKUP($D50,HData!$A$2:$AE$219,R$3,FALSE)</f>
        <v>-5.5E-2</v>
      </c>
      <c r="S50" s="51">
        <f>VLOOKUP($D50,HData!$A$2:$AE$219,S$3,FALSE)</f>
        <v>0.11899999999999999</v>
      </c>
      <c r="T50" s="51">
        <f>VLOOKUP($D50,HData!$A$2:$AE$219,T$3,FALSE)</f>
        <v>9.7000000000000003E-2</v>
      </c>
      <c r="U50" s="51">
        <f>VLOOKUP($D50,HData!$A$2:$AE$219,U$3,FALSE)</f>
        <v>9.0999999999999998E-2</v>
      </c>
      <c r="V50" s="51">
        <f>VLOOKUP($D50,HData!$A$2:$AE$219,V$3,FALSE)</f>
        <v>0.504</v>
      </c>
      <c r="X50" s="61">
        <f>AVERAGE(BE50:BI50)</f>
        <v>-3.9232428896063105</v>
      </c>
      <c r="Y50" s="61">
        <f>(H50-I50)/I50</f>
        <v>-0.97507225433526012</v>
      </c>
      <c r="Z50" s="61">
        <f>(H50-L50)/L50</f>
        <v>-0.9689189189189189</v>
      </c>
      <c r="AA50" s="61">
        <f>(H50-Q50)/Q50</f>
        <v>-1.2875000000000001</v>
      </c>
      <c r="AB50" s="6"/>
      <c r="AC50" s="6"/>
      <c r="AD50" s="6"/>
      <c r="AE50" s="6"/>
      <c r="AF50" s="6"/>
      <c r="AG50" s="6"/>
      <c r="AH50" s="6"/>
      <c r="AI50" s="6"/>
      <c r="AJ50" s="6"/>
      <c r="AK50" s="6"/>
      <c r="AL50" s="6"/>
      <c r="AM50" s="6"/>
      <c r="AN50" s="6"/>
      <c r="AO50" s="6"/>
      <c r="AP50" s="6"/>
      <c r="AQ50" s="6"/>
      <c r="AY50" s="69" t="s">
        <v>18</v>
      </c>
      <c r="BE50">
        <f t="shared" si="62"/>
        <v>-0.97507225433526012</v>
      </c>
      <c r="BF50">
        <f t="shared" si="62"/>
        <v>4.4488188976377954</v>
      </c>
      <c r="BG50">
        <f t="shared" si="62"/>
        <v>-0.89960474308300398</v>
      </c>
      <c r="BH50">
        <f t="shared" si="62"/>
        <v>1.2792792792792793</v>
      </c>
      <c r="BI50">
        <f t="shared" si="62"/>
        <v>-23.469635627530362</v>
      </c>
      <c r="BJ50">
        <f t="shared" si="62"/>
        <v>13.969696969696969</v>
      </c>
      <c r="BK50">
        <f t="shared" si="62"/>
        <v>-0.94923076923076921</v>
      </c>
      <c r="BL50">
        <f t="shared" si="62"/>
        <v>-0.31434599156118137</v>
      </c>
      <c r="BM50">
        <f t="shared" si="62"/>
        <v>-0.21000000000000002</v>
      </c>
      <c r="BN50">
        <f t="shared" si="62"/>
        <v>-22.818181818181817</v>
      </c>
      <c r="BO50">
        <f t="shared" si="62"/>
        <v>-1.4621848739495797</v>
      </c>
      <c r="BP50">
        <f t="shared" si="62"/>
        <v>0.22680412371134012</v>
      </c>
      <c r="BQ50">
        <f t="shared" si="62"/>
        <v>6.5934065934065991E-2</v>
      </c>
      <c r="BR50">
        <f t="shared" si="62"/>
        <v>-0.81944444444444453</v>
      </c>
      <c r="BS50" t="e">
        <f t="shared" si="62"/>
        <v>#DIV/0!</v>
      </c>
    </row>
    <row r="51" spans="1:71" x14ac:dyDescent="0.2">
      <c r="A51" s="6"/>
      <c r="B51" s="6"/>
      <c r="C51" s="6"/>
      <c r="D51" s="51" t="s">
        <v>16</v>
      </c>
      <c r="E51" s="47"/>
      <c r="F51" s="51">
        <f>VLOOKUP(AY51,'12QData'!$A$5:$W$218,2,FALSE)</f>
        <v>121.05</v>
      </c>
      <c r="G51" s="55"/>
      <c r="H51" s="51">
        <f>VLOOKUP($D51,HData!$A$2:$AE$219,H$3,FALSE)</f>
        <v>56.89</v>
      </c>
      <c r="I51" s="51">
        <f>VLOOKUP($D51,HData!$A$2:$AE$219,I$3,FALSE)</f>
        <v>94.68</v>
      </c>
      <c r="J51" s="51">
        <f>VLOOKUP($D51,HData!$A$2:$AE$219,J$3,FALSE)</f>
        <v>15.84</v>
      </c>
      <c r="K51" s="51">
        <f>VLOOKUP($D51,HData!$A$2:$AE$219,K$3,FALSE)</f>
        <v>-3.38</v>
      </c>
      <c r="L51" s="51">
        <f>VLOOKUP($D51,HData!$A$2:$AE$219,L$3,FALSE)</f>
        <v>9.77</v>
      </c>
      <c r="M51" s="51">
        <f>VLOOKUP($D51,HData!$A$2:$AE$219,M$3,FALSE)</f>
        <v>5.71</v>
      </c>
      <c r="N51" s="51">
        <f>VLOOKUP($D51,HData!$A$2:$AE$219,N$3,FALSE)</f>
        <v>4.96</v>
      </c>
      <c r="O51" s="51">
        <f>VLOOKUP($D51,HData!$A$2:$AE$219,O$3,FALSE)</f>
        <v>4.66</v>
      </c>
      <c r="P51" s="51">
        <f>VLOOKUP($D51,HData!$A$2:$AE$219,P$3,FALSE)</f>
        <v>5.16</v>
      </c>
      <c r="Q51" s="51">
        <f>VLOOKUP($D51,HData!$A$2:$AE$219,Q$3,FALSE)</f>
        <v>4.83</v>
      </c>
      <c r="R51" s="51">
        <f>VLOOKUP($D51,HData!$A$2:$AE$219,R$3,FALSE)</f>
        <v>4.01</v>
      </c>
      <c r="S51" s="51">
        <f>VLOOKUP($D51,HData!$A$2:$AE$219,S$3,FALSE)</f>
        <v>2.87</v>
      </c>
      <c r="T51" s="51">
        <f>VLOOKUP($D51,HData!$A$2:$AE$219,T$3,FALSE)</f>
        <v>2.75</v>
      </c>
      <c r="U51" s="51">
        <f>VLOOKUP($D51,HData!$A$2:$AE$219,U$3,FALSE)</f>
        <v>1.82</v>
      </c>
      <c r="V51" s="51">
        <f>VLOOKUP($D51,HData!$A$2:$AE$219,V$3,FALSE)</f>
        <v>1.58</v>
      </c>
      <c r="X51" s="61">
        <f>AVERAGE(BE51:BI51)</f>
        <v>-0.34863509327474279</v>
      </c>
      <c r="Y51" s="61">
        <f>(H51-I51)/I51</f>
        <v>-0.39913392479932408</v>
      </c>
      <c r="Z51" s="61">
        <f>(H51-L51)/L51</f>
        <v>4.8229273285568075</v>
      </c>
      <c r="AA51" s="61">
        <f>(H51-Q51)/Q51</f>
        <v>10.778467908902693</v>
      </c>
      <c r="AB51" s="6"/>
      <c r="AC51" s="6"/>
      <c r="AD51" s="6"/>
      <c r="AE51" s="6"/>
      <c r="AF51" s="6"/>
      <c r="AG51" s="6"/>
      <c r="AH51" s="6"/>
      <c r="AI51" s="6"/>
      <c r="AJ51" s="6"/>
      <c r="AK51" s="6"/>
      <c r="AL51" s="6"/>
      <c r="AM51" s="6"/>
      <c r="AN51" s="6"/>
      <c r="AO51" s="6"/>
      <c r="AP51" s="6"/>
      <c r="AQ51" s="6"/>
      <c r="AY51" s="51" t="s">
        <v>16</v>
      </c>
      <c r="BC51" s="69"/>
      <c r="BE51">
        <f t="shared" si="62"/>
        <v>-0.39913392479932408</v>
      </c>
      <c r="BF51">
        <f t="shared" si="62"/>
        <v>4.9772727272727275</v>
      </c>
      <c r="BG51">
        <f t="shared" si="62"/>
        <v>-5.6863905325443787</v>
      </c>
      <c r="BH51">
        <f t="shared" si="62"/>
        <v>-1.3459570112589558</v>
      </c>
      <c r="BI51">
        <f t="shared" si="62"/>
        <v>0.71103327495621715</v>
      </c>
      <c r="BJ51">
        <f t="shared" si="62"/>
        <v>0.15120967741935484</v>
      </c>
      <c r="BK51">
        <f t="shared" si="62"/>
        <v>6.4377682403433431E-2</v>
      </c>
      <c r="BL51">
        <f t="shared" si="62"/>
        <v>-9.6899224806201542E-2</v>
      </c>
      <c r="BM51">
        <f t="shared" si="62"/>
        <v>6.8322981366459645E-2</v>
      </c>
      <c r="BN51">
        <f t="shared" si="62"/>
        <v>0.20448877805486293</v>
      </c>
      <c r="BO51">
        <f t="shared" si="62"/>
        <v>0.39721254355400687</v>
      </c>
      <c r="BP51">
        <f t="shared" si="62"/>
        <v>4.3636363636363674E-2</v>
      </c>
      <c r="BQ51">
        <f t="shared" si="62"/>
        <v>0.51098901098901095</v>
      </c>
      <c r="BR51">
        <f t="shared" si="62"/>
        <v>0.15189873417721517</v>
      </c>
      <c r="BS51" t="e">
        <f t="shared" si="62"/>
        <v>#DIV/0!</v>
      </c>
    </row>
    <row r="52" spans="1:71" x14ac:dyDescent="0.2">
      <c r="A52" s="25"/>
      <c r="B52" s="6"/>
      <c r="C52" s="26"/>
      <c r="D52" s="42" t="s">
        <v>401</v>
      </c>
      <c r="F52" s="58" t="str">
        <f>Statistics!B99</f>
        <v>n/a</v>
      </c>
      <c r="H52" s="58" t="e">
        <f>VLOOKUP($D52,HData!$A$2:$AE$219,H$3,FALSE)</f>
        <v>#N/A</v>
      </c>
      <c r="I52" s="58" t="e">
        <f>VLOOKUP($D52,HData!$A$2:$AE$219,I$3,FALSE)</f>
        <v>#N/A</v>
      </c>
      <c r="J52" s="58" t="e">
        <f>VLOOKUP($D52,HData!$A$2:$AE$219,J$3,FALSE)</f>
        <v>#N/A</v>
      </c>
      <c r="K52" s="58" t="e">
        <f>VLOOKUP($D52,HData!$A$2:$AE$219,K$3,FALSE)</f>
        <v>#N/A</v>
      </c>
      <c r="L52" s="58" t="e">
        <f>VLOOKUP($D52,HData!$A$2:$AE$219,L$3,FALSE)</f>
        <v>#N/A</v>
      </c>
      <c r="M52" s="58" t="e">
        <f>VLOOKUP($D52,HData!$A$2:$AE$219,M$3,FALSE)</f>
        <v>#N/A</v>
      </c>
      <c r="N52" s="58" t="e">
        <f>VLOOKUP($D52,HData!$A$2:$AE$219,N$3,FALSE)</f>
        <v>#N/A</v>
      </c>
      <c r="O52" s="58" t="e">
        <f>VLOOKUP($D52,HData!$A$2:$AE$219,O$3,FALSE)</f>
        <v>#N/A</v>
      </c>
      <c r="P52" s="58" t="e">
        <f>VLOOKUP($D52,HData!$A$2:$AE$219,P$3,FALSE)</f>
        <v>#N/A</v>
      </c>
      <c r="Q52" s="51" t="e">
        <f>VLOOKUP($D52,HData!$A$2:$AE$219,Q$3,FALSE)</f>
        <v>#N/A</v>
      </c>
      <c r="R52" s="51" t="e">
        <f>VLOOKUP($D52,HData!$A$2:$AE$219,R$3,FALSE)</f>
        <v>#N/A</v>
      </c>
      <c r="S52" s="51" t="e">
        <f>VLOOKUP($D52,HData!$A$2:$AE$219,S$3,FALSE)</f>
        <v>#N/A</v>
      </c>
      <c r="T52" s="51" t="e">
        <f>VLOOKUP($D52,HData!$A$2:$AE$219,T$3,FALSE)</f>
        <v>#N/A</v>
      </c>
      <c r="U52" s="51" t="e">
        <f>VLOOKUP($D52,HData!$A$2:$AE$219,U$3,FALSE)</f>
        <v>#N/A</v>
      </c>
      <c r="V52" s="51" t="e">
        <f>VLOOKUP($D52,HData!$A$2:$AE$219,V$3,FALSE)</f>
        <v>#N/A</v>
      </c>
      <c r="X52" s="50"/>
      <c r="Y52" s="50"/>
      <c r="Z52" s="50"/>
      <c r="AB52" s="6"/>
      <c r="AC52" s="6"/>
      <c r="AD52" s="6"/>
      <c r="AE52" s="6"/>
      <c r="AF52" s="6"/>
      <c r="AG52" s="6"/>
      <c r="AH52" s="6"/>
      <c r="AI52" s="6"/>
      <c r="AJ52" s="6"/>
      <c r="AK52" s="6"/>
      <c r="AL52" s="6"/>
      <c r="AM52" s="6"/>
      <c r="AN52" s="6"/>
      <c r="AO52" s="6"/>
      <c r="AP52" s="6"/>
      <c r="AQ52" s="6"/>
      <c r="AY52" s="3" t="s">
        <v>35</v>
      </c>
      <c r="BC52" s="3" t="s">
        <v>134</v>
      </c>
    </row>
    <row r="53" spans="1:71" x14ac:dyDescent="0.2">
      <c r="A53" s="6"/>
      <c r="B53" s="6"/>
      <c r="C53" s="6"/>
      <c r="D53" s="6"/>
      <c r="F53" s="6"/>
      <c r="H53" s="6"/>
      <c r="I53" s="6"/>
      <c r="J53" s="6"/>
      <c r="K53" s="6"/>
      <c r="L53" s="6"/>
      <c r="M53" s="6"/>
      <c r="N53" s="6"/>
      <c r="O53" s="6"/>
      <c r="P53" s="6"/>
      <c r="Q53" s="6"/>
      <c r="R53" s="6"/>
      <c r="S53" s="6"/>
      <c r="T53" s="6"/>
      <c r="U53" s="6"/>
      <c r="V53" s="6"/>
      <c r="X53" s="6"/>
      <c r="Y53" s="6"/>
      <c r="Z53" s="6"/>
      <c r="AA53" s="6"/>
      <c r="AB53" s="6"/>
      <c r="AC53" s="6"/>
      <c r="AD53" s="6"/>
      <c r="AE53" s="6"/>
      <c r="AF53" s="6"/>
      <c r="AG53" s="6"/>
      <c r="AH53" s="6"/>
      <c r="AI53" s="6"/>
      <c r="AJ53" s="6"/>
      <c r="AK53" s="6"/>
      <c r="AL53" s="6"/>
      <c r="AM53" s="6"/>
      <c r="AN53" s="6"/>
      <c r="AO53" s="6"/>
      <c r="AP53" s="6"/>
      <c r="AQ53" s="6"/>
    </row>
    <row r="54" spans="1:71" x14ac:dyDescent="0.2">
      <c r="A54" s="6"/>
      <c r="B54" s="6"/>
      <c r="C54" s="6"/>
      <c r="D54" s="6"/>
      <c r="F54" s="6"/>
      <c r="H54" s="6"/>
      <c r="I54" s="6"/>
      <c r="J54" s="6"/>
      <c r="K54" s="6"/>
      <c r="L54" s="6"/>
      <c r="M54" s="6"/>
      <c r="N54" s="6"/>
      <c r="O54" s="6"/>
      <c r="P54" s="6"/>
      <c r="Q54" s="6"/>
      <c r="R54" s="6"/>
      <c r="S54" s="6"/>
      <c r="T54" s="6"/>
      <c r="U54" s="6"/>
      <c r="V54" s="6"/>
      <c r="X54" s="6"/>
      <c r="Y54" s="6"/>
      <c r="Z54" s="6"/>
      <c r="AA54" s="6"/>
      <c r="AB54" s="6"/>
      <c r="AC54" s="6"/>
      <c r="AD54" s="6"/>
      <c r="AE54" s="6"/>
      <c r="AF54" s="6"/>
      <c r="AG54" s="6"/>
      <c r="AH54" s="6"/>
      <c r="AI54" s="6"/>
      <c r="AJ54" s="6"/>
      <c r="AK54" s="6"/>
      <c r="AL54" s="6"/>
      <c r="AM54" s="6"/>
      <c r="AN54" s="6"/>
      <c r="AO54" s="6"/>
      <c r="AP54" s="6"/>
      <c r="AQ54" s="6"/>
    </row>
    <row r="55" spans="1:71" x14ac:dyDescent="0.2">
      <c r="A55" s="6"/>
      <c r="B55" s="6"/>
      <c r="C55" s="6"/>
      <c r="D55" s="6"/>
      <c r="F55" s="6"/>
      <c r="H55" s="6"/>
      <c r="I55" s="6"/>
      <c r="J55" s="6"/>
      <c r="K55" s="6"/>
      <c r="L55" s="6"/>
      <c r="M55" s="6"/>
      <c r="N55" s="6"/>
      <c r="O55" s="6"/>
      <c r="P55" s="6"/>
      <c r="Q55" s="6"/>
      <c r="R55" s="6"/>
      <c r="S55" s="6"/>
      <c r="T55" s="6"/>
      <c r="U55" s="6"/>
      <c r="V55" s="6"/>
      <c r="X55" s="6"/>
      <c r="Y55" s="6"/>
      <c r="Z55" s="6"/>
      <c r="AA55" s="6"/>
      <c r="AB55" s="6"/>
      <c r="AC55" s="6"/>
      <c r="AD55" s="6"/>
      <c r="AE55" s="6"/>
      <c r="AF55" s="6"/>
      <c r="AG55" s="6"/>
      <c r="AH55" s="6"/>
      <c r="AI55" s="6"/>
      <c r="AJ55" s="6"/>
      <c r="AK55" s="6"/>
      <c r="AL55" s="6"/>
      <c r="AM55" s="6"/>
      <c r="AN55" s="6"/>
      <c r="AO55" s="6"/>
      <c r="AP55" s="6"/>
      <c r="AQ55" s="6"/>
    </row>
    <row r="56" spans="1:71" x14ac:dyDescent="0.2">
      <c r="A56" s="6"/>
      <c r="B56" s="6"/>
      <c r="C56" s="6"/>
      <c r="D56" s="6"/>
      <c r="F56" s="6"/>
      <c r="H56" s="6"/>
      <c r="I56" s="6"/>
      <c r="J56" s="6"/>
      <c r="K56" s="6"/>
      <c r="L56" s="6"/>
      <c r="M56" s="6"/>
      <c r="N56" s="6"/>
      <c r="O56" s="6"/>
      <c r="P56" s="6"/>
      <c r="Q56" s="6"/>
      <c r="R56" s="6"/>
      <c r="S56" s="6"/>
      <c r="T56" s="6"/>
      <c r="U56" s="6"/>
      <c r="V56" s="6"/>
      <c r="X56" s="62"/>
      <c r="Y56" s="62"/>
      <c r="Z56" s="62"/>
      <c r="AA56" s="6"/>
      <c r="AB56" s="6"/>
      <c r="AC56" s="6"/>
      <c r="AD56" s="6"/>
      <c r="AE56" s="6"/>
      <c r="AF56" s="6"/>
      <c r="AG56" s="6"/>
      <c r="AH56" s="6"/>
      <c r="AI56" s="6"/>
      <c r="AJ56" s="6"/>
      <c r="AK56" s="6"/>
      <c r="AL56" s="6"/>
      <c r="AM56" s="6"/>
      <c r="AN56" s="6"/>
      <c r="AO56" s="6"/>
      <c r="AP56" s="6"/>
      <c r="AQ56" s="6"/>
    </row>
    <row r="57" spans="1:71" x14ac:dyDescent="0.2">
      <c r="A57" s="6"/>
      <c r="B57" s="6"/>
      <c r="C57" s="26"/>
      <c r="D57" s="6"/>
      <c r="F57" s="6"/>
      <c r="H57" s="6"/>
      <c r="I57" s="6"/>
      <c r="J57" s="6"/>
      <c r="K57" s="6"/>
      <c r="L57" s="6"/>
      <c r="M57" s="6"/>
      <c r="N57" s="6"/>
      <c r="O57" s="6"/>
      <c r="P57" s="6"/>
      <c r="Q57" s="6"/>
      <c r="R57" s="6"/>
      <c r="S57" s="6"/>
      <c r="T57" s="6"/>
      <c r="U57" s="6"/>
      <c r="V57" s="6"/>
      <c r="X57" s="62"/>
      <c r="Y57" s="62"/>
      <c r="Z57" s="62"/>
      <c r="AA57" s="6"/>
      <c r="AB57" s="6"/>
      <c r="AC57" s="6"/>
      <c r="AD57" s="6"/>
      <c r="AE57" s="6"/>
      <c r="AF57" s="6"/>
      <c r="AG57" s="6"/>
      <c r="AH57" s="6"/>
      <c r="AI57" s="6"/>
      <c r="AJ57" s="6"/>
      <c r="AK57" s="6"/>
      <c r="AL57" s="6"/>
      <c r="AM57" s="6"/>
      <c r="AN57" s="6"/>
      <c r="AO57" s="6"/>
      <c r="AP57" s="6"/>
      <c r="AQ57" s="6"/>
    </row>
    <row r="58" spans="1:71" x14ac:dyDescent="0.2">
      <c r="A58" s="6"/>
      <c r="B58" s="6"/>
      <c r="C58" s="26"/>
      <c r="D58" s="26"/>
      <c r="E58" s="26"/>
      <c r="F58" s="26"/>
      <c r="H58" s="6"/>
      <c r="I58" s="6"/>
      <c r="J58" s="6"/>
      <c r="K58" s="6"/>
      <c r="L58" s="6"/>
      <c r="M58" s="6"/>
      <c r="N58" s="6"/>
      <c r="O58" s="6"/>
      <c r="P58" s="6"/>
      <c r="Q58" s="6"/>
      <c r="R58" s="6"/>
      <c r="S58" s="6"/>
      <c r="T58" s="6"/>
      <c r="U58" s="6"/>
      <c r="V58" s="6"/>
      <c r="X58" s="62"/>
      <c r="Y58" s="62"/>
      <c r="Z58" s="62"/>
      <c r="AA58" s="6"/>
      <c r="AB58" s="6"/>
      <c r="AC58" s="6"/>
      <c r="AD58" s="6"/>
      <c r="AE58" s="6"/>
      <c r="AF58" s="6"/>
      <c r="AG58" s="6"/>
      <c r="AH58" s="6"/>
      <c r="AI58" s="6"/>
      <c r="AJ58" s="6"/>
      <c r="AK58" s="6"/>
      <c r="AL58" s="6"/>
      <c r="AM58" s="6"/>
      <c r="AN58" s="6"/>
      <c r="AO58" s="6"/>
      <c r="AP58" s="6"/>
      <c r="AQ58" s="6"/>
    </row>
    <row r="59" spans="1:71" x14ac:dyDescent="0.2">
      <c r="C59" s="13"/>
      <c r="D59" s="26"/>
      <c r="E59" s="26"/>
      <c r="F59" s="26"/>
      <c r="H59" s="6"/>
      <c r="I59" s="6"/>
      <c r="J59" s="6"/>
      <c r="K59" s="6"/>
      <c r="L59" s="6"/>
      <c r="M59" s="6"/>
      <c r="N59" s="6"/>
      <c r="O59" s="6"/>
      <c r="P59" s="6"/>
      <c r="Q59" s="6"/>
      <c r="R59" s="6"/>
      <c r="S59" s="6"/>
      <c r="T59" s="6"/>
      <c r="U59" s="6"/>
      <c r="V59" s="6"/>
      <c r="X59" s="62"/>
      <c r="Y59" s="62"/>
      <c r="Z59" s="62"/>
      <c r="AA59" s="6"/>
      <c r="AB59" s="6"/>
      <c r="AC59" s="6"/>
      <c r="AD59" s="6"/>
      <c r="AE59" s="6"/>
    </row>
    <row r="60" spans="1:71" x14ac:dyDescent="0.2">
      <c r="D60" s="13"/>
      <c r="E60" s="13"/>
      <c r="F60" s="13"/>
      <c r="G60"/>
      <c r="W60"/>
      <c r="X60" s="50"/>
      <c r="Y60" s="50"/>
      <c r="Z60" s="50"/>
    </row>
    <row r="61" spans="1:71" x14ac:dyDescent="0.2">
      <c r="E61"/>
      <c r="G61"/>
      <c r="W61"/>
      <c r="X61" s="50"/>
      <c r="Y61" s="50"/>
      <c r="Z61" s="50"/>
    </row>
    <row r="62" spans="1:71" x14ac:dyDescent="0.2">
      <c r="E62"/>
      <c r="G62"/>
      <c r="W62"/>
      <c r="X62" s="50"/>
      <c r="Y62" s="50"/>
      <c r="Z62" s="50"/>
    </row>
    <row r="63" spans="1:71" x14ac:dyDescent="0.2">
      <c r="D63" s="13"/>
      <c r="E63" s="13"/>
      <c r="F63" s="13"/>
      <c r="G63"/>
      <c r="W63"/>
      <c r="X63" s="50"/>
      <c r="Y63" s="50"/>
      <c r="Z63" s="50"/>
    </row>
    <row r="64" spans="1:71" x14ac:dyDescent="0.2">
      <c r="D64" s="13"/>
      <c r="E64" s="13"/>
      <c r="F64" s="13"/>
      <c r="G64"/>
      <c r="W64"/>
      <c r="X64" s="50"/>
      <c r="Y64" s="50"/>
      <c r="Z64" s="50"/>
    </row>
    <row r="65" spans="1:26" x14ac:dyDescent="0.2">
      <c r="D65" s="13"/>
      <c r="E65" s="13"/>
      <c r="F65" s="13"/>
      <c r="G65"/>
      <c r="W65"/>
      <c r="X65" s="50"/>
      <c r="Y65" s="50"/>
      <c r="Z65" s="50"/>
    </row>
    <row r="66" spans="1:26" x14ac:dyDescent="0.2">
      <c r="E66"/>
      <c r="G66"/>
      <c r="W66"/>
      <c r="X66" s="50"/>
      <c r="Y66" s="50"/>
      <c r="Z66" s="50"/>
    </row>
    <row r="67" spans="1:26" x14ac:dyDescent="0.2">
      <c r="E67"/>
      <c r="G67"/>
      <c r="W67"/>
      <c r="X67" s="50"/>
      <c r="Y67" s="50"/>
      <c r="Z67" s="50"/>
    </row>
    <row r="68" spans="1:26" x14ac:dyDescent="0.2">
      <c r="E68"/>
      <c r="G68"/>
      <c r="W68"/>
      <c r="X68" s="50"/>
      <c r="Y68" s="50"/>
      <c r="Z68" s="50"/>
    </row>
    <row r="69" spans="1:26" x14ac:dyDescent="0.2">
      <c r="E69"/>
      <c r="G69"/>
      <c r="W69"/>
      <c r="X69" s="50"/>
      <c r="Y69" s="50"/>
      <c r="Z69" s="50"/>
    </row>
    <row r="70" spans="1:26" x14ac:dyDescent="0.2">
      <c r="A70" t="s">
        <v>224</v>
      </c>
      <c r="E70"/>
      <c r="G70"/>
      <c r="W70"/>
      <c r="X70" s="50"/>
      <c r="Y70" s="50"/>
      <c r="Z70" s="50"/>
    </row>
    <row r="71" spans="1:26" x14ac:dyDescent="0.2">
      <c r="E71"/>
      <c r="G71"/>
      <c r="W71"/>
      <c r="X71" s="50"/>
      <c r="Y71" s="50"/>
      <c r="Z71" s="50"/>
    </row>
    <row r="72" spans="1:26" x14ac:dyDescent="0.2">
      <c r="A72" t="s">
        <v>6</v>
      </c>
      <c r="E72"/>
      <c r="G72"/>
      <c r="W72"/>
      <c r="X72" s="50"/>
      <c r="Y72" s="50"/>
      <c r="Z72" s="50"/>
    </row>
    <row r="73" spans="1:26" x14ac:dyDescent="0.2">
      <c r="A73" t="s">
        <v>7</v>
      </c>
      <c r="E73"/>
      <c r="G73"/>
      <c r="W73"/>
      <c r="X73" s="50"/>
      <c r="Y73" s="50"/>
      <c r="Z73" s="50"/>
    </row>
    <row r="74" spans="1:26" ht="30" x14ac:dyDescent="0.2">
      <c r="A74" s="3" t="s">
        <v>11</v>
      </c>
      <c r="E74"/>
      <c r="G74"/>
      <c r="W74"/>
      <c r="X74" s="50"/>
      <c r="Y74" s="50"/>
      <c r="Z74" s="50"/>
    </row>
    <row r="75" spans="1:26" ht="45" x14ac:dyDescent="0.2">
      <c r="A75" s="3" t="s">
        <v>116</v>
      </c>
      <c r="E75"/>
      <c r="G75"/>
      <c r="W75"/>
      <c r="X75" s="50"/>
      <c r="Y75" s="50"/>
      <c r="Z75" s="50"/>
    </row>
    <row r="76" spans="1:26" x14ac:dyDescent="0.2">
      <c r="E76"/>
      <c r="G76"/>
      <c r="W76"/>
      <c r="X76" s="50"/>
      <c r="Y76" s="50"/>
      <c r="Z76" s="50"/>
    </row>
    <row r="77" spans="1:26" x14ac:dyDescent="0.2">
      <c r="A77" t="s">
        <v>225</v>
      </c>
      <c r="E77"/>
      <c r="G77"/>
      <c r="W77"/>
      <c r="X77" s="50"/>
      <c r="Y77" s="50"/>
      <c r="Z77" s="50"/>
    </row>
    <row r="78" spans="1:26" x14ac:dyDescent="0.2">
      <c r="A78" t="s">
        <v>226</v>
      </c>
      <c r="E78"/>
      <c r="G78"/>
      <c r="W78"/>
      <c r="X78" s="50"/>
      <c r="Y78" s="50"/>
      <c r="Z78" s="50"/>
    </row>
    <row r="79" spans="1:26" x14ac:dyDescent="0.2">
      <c r="A79" t="s">
        <v>121</v>
      </c>
      <c r="E79"/>
      <c r="G79"/>
      <c r="W79"/>
      <c r="X79" s="50"/>
      <c r="Y79" s="50"/>
      <c r="Z79" s="50"/>
    </row>
    <row r="80" spans="1:26" ht="30" x14ac:dyDescent="0.2">
      <c r="A80" s="3" t="s">
        <v>150</v>
      </c>
      <c r="E80"/>
      <c r="G80"/>
      <c r="W80"/>
      <c r="X80" s="50"/>
      <c r="Y80" s="50"/>
      <c r="Z80" s="50"/>
    </row>
    <row r="81" spans="1:26" x14ac:dyDescent="0.2">
      <c r="A81" t="s">
        <v>227</v>
      </c>
      <c r="E81"/>
      <c r="G81"/>
      <c r="W81"/>
      <c r="X81" s="50"/>
      <c r="Y81" s="50"/>
      <c r="Z81" s="50"/>
    </row>
    <row r="82" spans="1:26" x14ac:dyDescent="0.2">
      <c r="A82" t="s">
        <v>157</v>
      </c>
      <c r="D82" t="s">
        <v>32</v>
      </c>
      <c r="G82"/>
      <c r="W82"/>
      <c r="X82" s="62"/>
      <c r="Y82" s="62"/>
      <c r="Z82" s="62"/>
    </row>
    <row r="83" spans="1:26" x14ac:dyDescent="0.2">
      <c r="A83" t="s">
        <v>228</v>
      </c>
      <c r="D83" t="s">
        <v>2</v>
      </c>
      <c r="G83"/>
      <c r="W83"/>
      <c r="X83" s="62"/>
      <c r="Y83" s="62"/>
      <c r="Z83" s="62"/>
    </row>
    <row r="84" spans="1:26" ht="45" x14ac:dyDescent="0.2">
      <c r="A84" s="3" t="s">
        <v>229</v>
      </c>
      <c r="D84" t="s">
        <v>240</v>
      </c>
      <c r="G84"/>
      <c r="W84"/>
      <c r="X84" s="62"/>
      <c r="Y84" s="62"/>
      <c r="Z84" s="62"/>
    </row>
    <row r="85" spans="1:26" x14ac:dyDescent="0.2">
      <c r="A85" t="s">
        <v>171</v>
      </c>
      <c r="D85" t="s">
        <v>241</v>
      </c>
      <c r="G85"/>
      <c r="W85"/>
      <c r="X85" s="62"/>
      <c r="Y85" s="62"/>
      <c r="Z85" s="62"/>
    </row>
    <row r="86" spans="1:26" x14ac:dyDescent="0.2">
      <c r="D86" t="s">
        <v>242</v>
      </c>
      <c r="G86"/>
      <c r="W86"/>
      <c r="X86" s="62"/>
      <c r="Y86" s="62"/>
      <c r="Z86" s="62"/>
    </row>
    <row r="87" spans="1:26" ht="19" x14ac:dyDescent="0.2">
      <c r="D87" t="s">
        <v>243</v>
      </c>
      <c r="G87"/>
      <c r="I87" s="3"/>
      <c r="K87" s="18"/>
      <c r="M87" s="6"/>
      <c r="N87" s="25"/>
      <c r="O87" s="6"/>
      <c r="W87"/>
      <c r="X87" s="62"/>
      <c r="Y87" s="62"/>
      <c r="Z87" s="62"/>
    </row>
    <row r="88" spans="1:26" x14ac:dyDescent="0.2">
      <c r="A88" t="s">
        <v>230</v>
      </c>
      <c r="D88" t="s">
        <v>244</v>
      </c>
      <c r="G88"/>
      <c r="I88" s="3"/>
      <c r="K88" s="3"/>
      <c r="L88" s="21"/>
      <c r="M88" s="6"/>
      <c r="N88" s="22"/>
      <c r="O88" s="24"/>
      <c r="W88"/>
      <c r="X88" s="62"/>
      <c r="Y88" s="62"/>
      <c r="Z88" s="62"/>
    </row>
    <row r="89" spans="1:26" x14ac:dyDescent="0.2">
      <c r="D89" s="39" t="s">
        <v>245</v>
      </c>
      <c r="E89" s="49"/>
      <c r="F89" s="39"/>
      <c r="G89"/>
      <c r="I89" s="3"/>
      <c r="K89" s="3"/>
      <c r="L89" s="13"/>
      <c r="M89" s="6"/>
      <c r="N89" s="22"/>
      <c r="O89" s="26"/>
      <c r="W89"/>
      <c r="X89" s="62"/>
      <c r="Y89" s="62"/>
      <c r="Z89" s="62"/>
    </row>
    <row r="90" spans="1:26" x14ac:dyDescent="0.2">
      <c r="A90" t="s">
        <v>231</v>
      </c>
      <c r="D90" t="s">
        <v>246</v>
      </c>
      <c r="G90"/>
      <c r="I90" s="3"/>
      <c r="K90" s="3"/>
      <c r="L90" s="21"/>
      <c r="M90" s="6"/>
      <c r="N90" s="6"/>
      <c r="O90" s="6"/>
      <c r="W90"/>
      <c r="X90" s="62"/>
      <c r="Y90" s="62"/>
      <c r="Z90" s="62"/>
    </row>
    <row r="91" spans="1:26" x14ac:dyDescent="0.2">
      <c r="A91" t="s">
        <v>232</v>
      </c>
      <c r="I91" s="3"/>
      <c r="K91" s="3"/>
      <c r="M91" s="6"/>
      <c r="N91" s="6"/>
      <c r="O91" s="6"/>
      <c r="W91"/>
      <c r="X91" s="62"/>
      <c r="Y91" s="62"/>
      <c r="Z91" s="62"/>
    </row>
    <row r="92" spans="1:26" x14ac:dyDescent="0.2">
      <c r="A92" t="s">
        <v>233</v>
      </c>
      <c r="D92" t="s">
        <v>247</v>
      </c>
      <c r="I92" s="3"/>
      <c r="K92" s="3"/>
      <c r="L92" s="21"/>
      <c r="M92" s="6"/>
      <c r="N92" s="6"/>
      <c r="O92" s="6"/>
      <c r="W92"/>
      <c r="X92" s="62"/>
      <c r="Y92" s="62"/>
      <c r="Z92" s="62"/>
    </row>
    <row r="93" spans="1:26" x14ac:dyDescent="0.2">
      <c r="A93" t="s">
        <v>234</v>
      </c>
      <c r="I93" s="3"/>
      <c r="K93" s="3"/>
      <c r="L93" s="21"/>
      <c r="M93" s="6"/>
      <c r="N93" s="6"/>
      <c r="O93" s="6"/>
      <c r="W93"/>
      <c r="X93" s="62"/>
      <c r="Y93" s="62"/>
      <c r="Z93" s="62"/>
    </row>
    <row r="94" spans="1:26" x14ac:dyDescent="0.2">
      <c r="A94" t="s">
        <v>235</v>
      </c>
      <c r="D94" t="s">
        <v>248</v>
      </c>
      <c r="I94" s="3"/>
      <c r="K94" s="22"/>
      <c r="L94" s="23"/>
      <c r="M94" s="6"/>
      <c r="N94" s="6"/>
      <c r="O94" s="6"/>
      <c r="W94"/>
      <c r="X94" s="62"/>
      <c r="Y94" s="62"/>
      <c r="Z94" s="62"/>
    </row>
    <row r="95" spans="1:26" x14ac:dyDescent="0.2">
      <c r="A95" t="s">
        <v>236</v>
      </c>
      <c r="I95" s="3"/>
      <c r="K95" s="3"/>
      <c r="L95" s="21"/>
      <c r="W95"/>
      <c r="X95" s="62"/>
      <c r="Y95" s="62"/>
      <c r="Z95" s="62"/>
    </row>
    <row r="96" spans="1:26" x14ac:dyDescent="0.2">
      <c r="A96" t="s">
        <v>237</v>
      </c>
      <c r="D96" t="s">
        <v>249</v>
      </c>
      <c r="I96" s="3"/>
      <c r="K96" s="3"/>
      <c r="L96" s="21"/>
      <c r="M96" s="21"/>
      <c r="N96" s="21"/>
      <c r="O96" s="21"/>
      <c r="W96"/>
      <c r="X96" s="6"/>
      <c r="Y96" s="6"/>
      <c r="Z96" s="6"/>
    </row>
    <row r="97" spans="1:26" x14ac:dyDescent="0.2">
      <c r="A97" t="s">
        <v>238</v>
      </c>
      <c r="D97" t="s">
        <v>250</v>
      </c>
      <c r="I97" s="3"/>
      <c r="K97" s="3"/>
      <c r="L97" s="13"/>
      <c r="M97" s="13"/>
      <c r="N97" s="13"/>
      <c r="O97" s="13"/>
      <c r="W97"/>
      <c r="X97" s="6"/>
      <c r="Y97" s="6"/>
      <c r="Z97" s="6"/>
    </row>
    <row r="98" spans="1:26" x14ac:dyDescent="0.2">
      <c r="A98" t="s">
        <v>239</v>
      </c>
      <c r="D98" t="s">
        <v>251</v>
      </c>
      <c r="I98" s="3"/>
      <c r="K98" s="6"/>
      <c r="L98" s="23"/>
      <c r="M98" s="23"/>
      <c r="N98" s="23"/>
      <c r="O98" s="23"/>
      <c r="W98"/>
      <c r="X98" s="6"/>
      <c r="Y98" s="6"/>
      <c r="Z98" s="6"/>
    </row>
    <row r="99" spans="1:26" x14ac:dyDescent="0.2">
      <c r="D99" t="s">
        <v>252</v>
      </c>
      <c r="I99" s="3"/>
      <c r="K99" s="1"/>
      <c r="O99" s="6"/>
      <c r="W99"/>
      <c r="X99" s="6"/>
      <c r="Y99" s="6"/>
      <c r="Z99" s="6"/>
    </row>
    <row r="100" spans="1:26" x14ac:dyDescent="0.2">
      <c r="I100" s="3"/>
      <c r="K100" s="3"/>
      <c r="L100" s="13"/>
      <c r="M100" s="13"/>
      <c r="N100" s="13"/>
      <c r="O100" s="6"/>
      <c r="W100"/>
      <c r="X100" s="6"/>
      <c r="Y100" s="6"/>
      <c r="Z100" s="6"/>
    </row>
    <row r="101" spans="1:26" x14ac:dyDescent="0.2">
      <c r="I101" s="3"/>
      <c r="K101" s="3"/>
      <c r="L101" s="13"/>
      <c r="M101" s="13"/>
      <c r="N101" s="13"/>
      <c r="O101" s="6"/>
      <c r="W101"/>
      <c r="X101" s="6"/>
      <c r="Y101" s="6"/>
      <c r="Z101" s="6"/>
    </row>
    <row r="102" spans="1:26" x14ac:dyDescent="0.2">
      <c r="I102" s="3"/>
      <c r="K102" s="3"/>
      <c r="L102" s="13"/>
      <c r="M102" s="13"/>
      <c r="N102" s="13"/>
      <c r="O102" s="6"/>
      <c r="W102"/>
    </row>
    <row r="103" spans="1:26" x14ac:dyDescent="0.2">
      <c r="I103" s="3"/>
      <c r="K103" s="6"/>
      <c r="L103" s="6"/>
      <c r="M103" s="6"/>
      <c r="N103" s="6"/>
      <c r="O103" s="6"/>
      <c r="W103"/>
    </row>
    <row r="104" spans="1:26" x14ac:dyDescent="0.2">
      <c r="I104" s="3"/>
      <c r="K104" s="1"/>
      <c r="O104" s="6"/>
      <c r="W104"/>
    </row>
    <row r="105" spans="1:26" x14ac:dyDescent="0.2">
      <c r="I105" s="3"/>
      <c r="K105" s="3"/>
      <c r="L105" s="13"/>
      <c r="M105" s="13"/>
      <c r="N105" s="13"/>
      <c r="O105" s="6"/>
      <c r="W105"/>
    </row>
    <row r="106" spans="1:26" x14ac:dyDescent="0.2">
      <c r="I106" s="3"/>
      <c r="K106" s="3"/>
      <c r="L106" s="13"/>
      <c r="M106" s="13"/>
      <c r="N106" s="13"/>
      <c r="O106" s="6"/>
      <c r="W106"/>
    </row>
    <row r="107" spans="1:26" x14ac:dyDescent="0.2">
      <c r="I107" s="3"/>
      <c r="K107" s="3"/>
      <c r="L107" s="13"/>
      <c r="M107" s="13"/>
      <c r="N107" s="13"/>
      <c r="O107" s="6"/>
      <c r="W107"/>
    </row>
    <row r="108" spans="1:26" x14ac:dyDescent="0.2">
      <c r="I108" s="3"/>
      <c r="W108"/>
    </row>
    <row r="109" spans="1:26" x14ac:dyDescent="0.2">
      <c r="I109" s="3"/>
      <c r="W109"/>
    </row>
    <row r="110" spans="1:26" x14ac:dyDescent="0.2">
      <c r="I110" s="3"/>
      <c r="W110"/>
    </row>
    <row r="111" spans="1:26" x14ac:dyDescent="0.2">
      <c r="I111" s="3"/>
      <c r="W111"/>
    </row>
    <row r="112" spans="1:26" x14ac:dyDescent="0.2">
      <c r="I112" s="3"/>
      <c r="W112"/>
    </row>
    <row r="113" spans="9:23" x14ac:dyDescent="0.2">
      <c r="I113" s="3"/>
      <c r="W113"/>
    </row>
    <row r="114" spans="9:23" x14ac:dyDescent="0.2">
      <c r="I114" s="3"/>
      <c r="W114"/>
    </row>
    <row r="115" spans="9:23" x14ac:dyDescent="0.2">
      <c r="I115" s="3"/>
      <c r="W115"/>
    </row>
    <row r="116" spans="9:23" x14ac:dyDescent="0.2">
      <c r="I116" s="3"/>
      <c r="W116"/>
    </row>
    <row r="117" spans="9:23" x14ac:dyDescent="0.2">
      <c r="I117" s="3"/>
      <c r="W117"/>
    </row>
    <row r="118" spans="9:23" x14ac:dyDescent="0.2">
      <c r="I118" s="6"/>
      <c r="W118"/>
    </row>
    <row r="119" spans="9:23" x14ac:dyDescent="0.2">
      <c r="W119"/>
    </row>
    <row r="120" spans="9:23" x14ac:dyDescent="0.2">
      <c r="W120"/>
    </row>
  </sheetData>
  <sortState xmlns:xlrd2="http://schemas.microsoft.com/office/spreadsheetml/2017/richdata2" columnSort="1" ref="H6:V6">
    <sortCondition ref="H6:V6"/>
  </sortState>
  <conditionalFormatting sqref="W8">
    <cfRule type="colorScale" priority="241">
      <colorScale>
        <cfvo type="min"/>
        <cfvo type="percentile" val="50"/>
        <cfvo type="max"/>
        <color rgb="FFF8696B"/>
        <color rgb="FFFCFCFF"/>
        <color rgb="FF63BE7B"/>
      </colorScale>
    </cfRule>
  </conditionalFormatting>
  <conditionalFormatting sqref="W9">
    <cfRule type="colorScale" priority="240">
      <colorScale>
        <cfvo type="min"/>
        <cfvo type="percentile" val="50"/>
        <cfvo type="max"/>
        <color rgb="FFF8696B"/>
        <color rgb="FFFCFCFF"/>
        <color rgb="FF63BE7B"/>
      </colorScale>
    </cfRule>
  </conditionalFormatting>
  <conditionalFormatting sqref="W6">
    <cfRule type="colorScale" priority="235">
      <colorScale>
        <cfvo type="min"/>
        <cfvo type="percentile" val="50"/>
        <cfvo type="max"/>
        <color rgb="FFF8696B"/>
        <color rgb="FFFCFCFF"/>
        <color rgb="FF63BE7B"/>
      </colorScale>
    </cfRule>
  </conditionalFormatting>
  <conditionalFormatting sqref="W10">
    <cfRule type="colorScale" priority="234">
      <colorScale>
        <cfvo type="min"/>
        <cfvo type="percentile" val="50"/>
        <cfvo type="max"/>
        <color rgb="FFF8696B"/>
        <color rgb="FFFCFCFF"/>
        <color rgb="FF63BE7B"/>
      </colorScale>
    </cfRule>
  </conditionalFormatting>
  <conditionalFormatting sqref="W15:W16">
    <cfRule type="colorScale" priority="232">
      <colorScale>
        <cfvo type="min"/>
        <cfvo type="percentile" val="50"/>
        <cfvo type="max"/>
        <color rgb="FFF8696B"/>
        <color rgb="FFFCFCFF"/>
        <color rgb="FF63BE7B"/>
      </colorScale>
    </cfRule>
  </conditionalFormatting>
  <conditionalFormatting sqref="W17">
    <cfRule type="colorScale" priority="231">
      <colorScale>
        <cfvo type="min"/>
        <cfvo type="percentile" val="50"/>
        <cfvo type="max"/>
        <color rgb="FF63BE7B"/>
        <color rgb="FFFCFCFF"/>
        <color rgb="FFF8696B"/>
      </colorScale>
    </cfRule>
  </conditionalFormatting>
  <conditionalFormatting sqref="W48">
    <cfRule type="colorScale" priority="230">
      <colorScale>
        <cfvo type="min"/>
        <cfvo type="percentile" val="50"/>
        <cfvo type="max"/>
        <color rgb="FFF8696B"/>
        <color rgb="FFFCFCFF"/>
        <color rgb="FF63BE7B"/>
      </colorScale>
    </cfRule>
  </conditionalFormatting>
  <conditionalFormatting sqref="W19:W20">
    <cfRule type="colorScale" priority="229">
      <colorScale>
        <cfvo type="min"/>
        <cfvo type="percentile" val="50"/>
        <cfvo type="max"/>
        <color rgb="FFF8696B"/>
        <color rgb="FFFCFCFF"/>
        <color rgb="FF63BE7B"/>
      </colorScale>
    </cfRule>
  </conditionalFormatting>
  <conditionalFormatting sqref="W44">
    <cfRule type="colorScale" priority="219">
      <colorScale>
        <cfvo type="min"/>
        <cfvo type="percentile" val="50"/>
        <cfvo type="max"/>
        <color rgb="FFF8696B"/>
        <color rgb="FFFCFCFF"/>
        <color rgb="FF63BE7B"/>
      </colorScale>
    </cfRule>
  </conditionalFormatting>
  <conditionalFormatting sqref="W45">
    <cfRule type="colorScale" priority="218">
      <colorScale>
        <cfvo type="min"/>
        <cfvo type="percentile" val="50"/>
        <cfvo type="max"/>
        <color rgb="FFF8696B"/>
        <color rgb="FFFCFCFF"/>
        <color rgb="FF63BE7B"/>
      </colorScale>
    </cfRule>
  </conditionalFormatting>
  <conditionalFormatting sqref="W47">
    <cfRule type="colorScale" priority="217">
      <colorScale>
        <cfvo type="min"/>
        <cfvo type="percentile" val="50"/>
        <cfvo type="max"/>
        <color rgb="FFF8696B"/>
        <color rgb="FFFCFCFF"/>
        <color rgb="FF63BE7B"/>
      </colorScale>
    </cfRule>
  </conditionalFormatting>
  <conditionalFormatting sqref="W42">
    <cfRule type="colorScale" priority="214">
      <colorScale>
        <cfvo type="min"/>
        <cfvo type="percentile" val="50"/>
        <cfvo type="max"/>
        <color rgb="FFF8696B"/>
        <color rgb="FFFCFCFF"/>
        <color rgb="FF63BE7B"/>
      </colorScale>
    </cfRule>
  </conditionalFormatting>
  <conditionalFormatting sqref="W8">
    <cfRule type="colorScale" priority="184">
      <colorScale>
        <cfvo type="min"/>
        <cfvo type="percentile" val="50"/>
        <cfvo type="max"/>
        <color rgb="FFF8696B"/>
        <color rgb="FFFCFCFF"/>
        <color rgb="FF63BE7B"/>
      </colorScale>
    </cfRule>
  </conditionalFormatting>
  <conditionalFormatting sqref="W9">
    <cfRule type="colorScale" priority="183">
      <colorScale>
        <cfvo type="min"/>
        <cfvo type="percentile" val="50"/>
        <cfvo type="max"/>
        <color rgb="FFF8696B"/>
        <color rgb="FFFCFCFF"/>
        <color rgb="FF63BE7B"/>
      </colorScale>
    </cfRule>
  </conditionalFormatting>
  <conditionalFormatting sqref="W10">
    <cfRule type="colorScale" priority="180">
      <colorScale>
        <cfvo type="min"/>
        <cfvo type="percentile" val="50"/>
        <cfvo type="max"/>
        <color rgb="FFF8696B"/>
        <color rgb="FFFCFCFF"/>
        <color rgb="FF63BE7B"/>
      </colorScale>
    </cfRule>
  </conditionalFormatting>
  <conditionalFormatting sqref="W11:W12">
    <cfRule type="colorScale" priority="179">
      <colorScale>
        <cfvo type="min"/>
        <cfvo type="percentile" val="50"/>
        <cfvo type="max"/>
        <color rgb="FFF8696B"/>
        <color rgb="FFFCFCFF"/>
        <color rgb="FF63BE7B"/>
      </colorScale>
    </cfRule>
  </conditionalFormatting>
  <conditionalFormatting sqref="W15">
    <cfRule type="colorScale" priority="175">
      <colorScale>
        <cfvo type="min"/>
        <cfvo type="percentile" val="50"/>
        <cfvo type="max"/>
        <color rgb="FFF8696B"/>
        <color rgb="FFFCFCFF"/>
        <color rgb="FF63BE7B"/>
      </colorScale>
    </cfRule>
  </conditionalFormatting>
  <conditionalFormatting sqref="W17">
    <cfRule type="colorScale" priority="174">
      <colorScale>
        <cfvo type="min"/>
        <cfvo type="percentile" val="50"/>
        <cfvo type="max"/>
        <color rgb="FF63BE7B"/>
        <color rgb="FFFCFCFF"/>
        <color rgb="FFF8696B"/>
      </colorScale>
    </cfRule>
  </conditionalFormatting>
  <conditionalFormatting sqref="W48">
    <cfRule type="colorScale" priority="173">
      <colorScale>
        <cfvo type="min"/>
        <cfvo type="percentile" val="50"/>
        <cfvo type="max"/>
        <color rgb="FFF8696B"/>
        <color rgb="FFFCFCFF"/>
        <color rgb="FF63BE7B"/>
      </colorScale>
    </cfRule>
  </conditionalFormatting>
  <conditionalFormatting sqref="W19:W20">
    <cfRule type="colorScale" priority="172">
      <colorScale>
        <cfvo type="min"/>
        <cfvo type="percentile" val="50"/>
        <cfvo type="max"/>
        <color rgb="FFF8696B"/>
        <color rgb="FFFCFCFF"/>
        <color rgb="FF63BE7B"/>
      </colorScale>
    </cfRule>
  </conditionalFormatting>
  <conditionalFormatting sqref="W44">
    <cfRule type="colorScale" priority="169">
      <colorScale>
        <cfvo type="min"/>
        <cfvo type="percentile" val="50"/>
        <cfvo type="max"/>
        <color rgb="FFF8696B"/>
        <color rgb="FFFCFCFF"/>
        <color rgb="FF63BE7B"/>
      </colorScale>
    </cfRule>
  </conditionalFormatting>
  <conditionalFormatting sqref="W45">
    <cfRule type="colorScale" priority="168">
      <colorScale>
        <cfvo type="min"/>
        <cfvo type="percentile" val="50"/>
        <cfvo type="max"/>
        <color rgb="FFF8696B"/>
        <color rgb="FFFCFCFF"/>
        <color rgb="FF63BE7B"/>
      </colorScale>
    </cfRule>
  </conditionalFormatting>
  <conditionalFormatting sqref="W47">
    <cfRule type="colorScale" priority="167">
      <colorScale>
        <cfvo type="min"/>
        <cfvo type="percentile" val="50"/>
        <cfvo type="max"/>
        <color rgb="FFF8696B"/>
        <color rgb="FFFCFCFF"/>
        <color rgb="FF63BE7B"/>
      </colorScale>
    </cfRule>
  </conditionalFormatting>
  <conditionalFormatting sqref="B7">
    <cfRule type="cellIs" dxfId="29" priority="164" operator="between">
      <formula>0</formula>
      <formula>21</formula>
    </cfRule>
    <cfRule type="cellIs" dxfId="28" priority="165" operator="lessThan">
      <formula>21</formula>
    </cfRule>
  </conditionalFormatting>
  <conditionalFormatting sqref="B8">
    <cfRule type="cellIs" dxfId="27" priority="163" operator="between">
      <formula>0</formula>
      <formula>21</formula>
    </cfRule>
  </conditionalFormatting>
  <conditionalFormatting sqref="B9">
    <cfRule type="cellIs" dxfId="26" priority="162" stopIfTrue="1" operator="between">
      <formula>0</formula>
      <formula>2</formula>
    </cfRule>
  </conditionalFormatting>
  <conditionalFormatting sqref="B10">
    <cfRule type="cellIs" dxfId="25" priority="158" operator="between">
      <formula>0</formula>
      <formula>2</formula>
    </cfRule>
    <cfRule type="cellIs" dxfId="24" priority="161" operator="between">
      <formula>0</formula>
      <formula>1</formula>
    </cfRule>
  </conditionalFormatting>
  <conditionalFormatting sqref="B11">
    <cfRule type="cellIs" dxfId="23" priority="160" operator="between">
      <formula>0</formula>
      <formula>2</formula>
    </cfRule>
  </conditionalFormatting>
  <conditionalFormatting sqref="B12">
    <cfRule type="cellIs" dxfId="22" priority="159" stopIfTrue="1" operator="between">
      <formula>0</formula>
      <formula>15</formula>
    </cfRule>
  </conditionalFormatting>
  <conditionalFormatting sqref="B13">
    <cfRule type="cellIs" dxfId="21" priority="156" operator="between">
      <formula>0</formula>
      <formula>10</formula>
    </cfRule>
    <cfRule type="cellIs" dxfId="20" priority="157" operator="between">
      <formula>0</formula>
      <formula>10</formula>
    </cfRule>
  </conditionalFormatting>
  <conditionalFormatting sqref="B14">
    <cfRule type="cellIs" dxfId="19" priority="155" operator="between">
      <formula>0</formula>
      <formula>1</formula>
    </cfRule>
  </conditionalFormatting>
  <conditionalFormatting sqref="B15">
    <cfRule type="cellIs" dxfId="18" priority="154" operator="between">
      <formula>0</formula>
      <formula>10</formula>
    </cfRule>
  </conditionalFormatting>
  <conditionalFormatting sqref="B16">
    <cfRule type="cellIs" dxfId="17" priority="153" operator="between">
      <formula>0</formula>
      <formula>3</formula>
    </cfRule>
  </conditionalFormatting>
  <conditionalFormatting sqref="B17">
    <cfRule type="cellIs" dxfId="16" priority="152" stopIfTrue="1" operator="between">
      <formula>0</formula>
      <formula>15</formula>
    </cfRule>
  </conditionalFormatting>
  <conditionalFormatting sqref="B18">
    <cfRule type="cellIs" dxfId="15" priority="150" operator="between">
      <formula>0</formula>
      <formula>10</formula>
    </cfRule>
    <cfRule type="cellIs" dxfId="14" priority="151" operator="between">
      <formula>0</formula>
      <formula>10</formula>
    </cfRule>
  </conditionalFormatting>
  <conditionalFormatting sqref="B19">
    <cfRule type="cellIs" dxfId="13" priority="149" operator="between">
      <formula>0</formula>
      <formula>15</formula>
    </cfRule>
  </conditionalFormatting>
  <conditionalFormatting sqref="B21">
    <cfRule type="cellIs" dxfId="12" priority="148" operator="between">
      <formula>1.5</formula>
      <formula>3</formula>
    </cfRule>
  </conditionalFormatting>
  <conditionalFormatting sqref="B22">
    <cfRule type="cellIs" dxfId="11" priority="147" operator="greaterThan">
      <formula>1</formula>
    </cfRule>
  </conditionalFormatting>
  <conditionalFormatting sqref="B23">
    <cfRule type="cellIs" dxfId="10" priority="146" operator="lessThan">
      <formula>1</formula>
    </cfRule>
  </conditionalFormatting>
  <conditionalFormatting sqref="B24">
    <cfRule type="cellIs" dxfId="9" priority="145" operator="lessThan">
      <formula>3</formula>
    </cfRule>
  </conditionalFormatting>
  <conditionalFormatting sqref="B25">
    <cfRule type="cellIs" dxfId="8" priority="144" operator="lessThan">
      <formula>3</formula>
    </cfRule>
  </conditionalFormatting>
  <conditionalFormatting sqref="B26 B28">
    <cfRule type="cellIs" dxfId="7" priority="143" stopIfTrue="1" operator="greaterThan">
      <formula>3</formula>
    </cfRule>
  </conditionalFormatting>
  <conditionalFormatting sqref="B29">
    <cfRule type="cellIs" dxfId="6" priority="142" operator="greaterThan">
      <formula>0.12</formula>
    </cfRule>
  </conditionalFormatting>
  <conditionalFormatting sqref="B30">
    <cfRule type="cellIs" dxfId="5" priority="141" stopIfTrue="1" operator="greaterThan">
      <formula>0.05</formula>
    </cfRule>
  </conditionalFormatting>
  <conditionalFormatting sqref="B31">
    <cfRule type="cellIs" dxfId="4" priority="140" stopIfTrue="1" operator="greaterThan">
      <formula>10%</formula>
    </cfRule>
  </conditionalFormatting>
  <conditionalFormatting sqref="B32">
    <cfRule type="cellIs" dxfId="3" priority="139" operator="greaterThan">
      <formula>0.1</formula>
    </cfRule>
  </conditionalFormatting>
  <conditionalFormatting sqref="W42">
    <cfRule type="colorScale" priority="137">
      <colorScale>
        <cfvo type="min"/>
        <cfvo type="percentile" val="50"/>
        <cfvo type="max"/>
        <color rgb="FFF8696B"/>
        <color rgb="FFFCFCFF"/>
        <color rgb="FF63BE7B"/>
      </colorScale>
    </cfRule>
  </conditionalFormatting>
  <conditionalFormatting sqref="W36:W38">
    <cfRule type="colorScale" priority="257">
      <colorScale>
        <cfvo type="min"/>
        <cfvo type="percentile" val="50"/>
        <cfvo type="max"/>
        <color rgb="FFF8696B"/>
        <color rgb="FFFCFCFF"/>
        <color rgb="FF63BE7B"/>
      </colorScale>
    </cfRule>
  </conditionalFormatting>
  <conditionalFormatting sqref="W35">
    <cfRule type="colorScale" priority="136">
      <colorScale>
        <cfvo type="min"/>
        <cfvo type="percentile" val="50"/>
        <cfvo type="max"/>
        <color rgb="FFF8696B"/>
        <color rgb="FFFCFCFF"/>
        <color rgb="FF63BE7B"/>
      </colorScale>
    </cfRule>
  </conditionalFormatting>
  <conditionalFormatting sqref="W37">
    <cfRule type="colorScale" priority="134">
      <colorScale>
        <cfvo type="min"/>
        <cfvo type="percentile" val="50"/>
        <cfvo type="max"/>
        <color rgb="FFF8696B"/>
        <color rgb="FFFCFCFF"/>
        <color rgb="FF63BE7B"/>
      </colorScale>
    </cfRule>
  </conditionalFormatting>
  <conditionalFormatting sqref="W37">
    <cfRule type="colorScale" priority="132">
      <colorScale>
        <cfvo type="min"/>
        <cfvo type="percentile" val="50"/>
        <cfvo type="max"/>
        <color rgb="FF63BE7B"/>
        <color rgb="FFFCFCFF"/>
        <color rgb="FFF8696B"/>
      </colorScale>
    </cfRule>
  </conditionalFormatting>
  <conditionalFormatting sqref="W38">
    <cfRule type="colorScale" priority="131">
      <colorScale>
        <cfvo type="min"/>
        <cfvo type="percentile" val="50"/>
        <cfvo type="max"/>
        <color rgb="FF63BE7B"/>
        <color rgb="FFFCFCFF"/>
        <color rgb="FFF8696B"/>
      </colorScale>
    </cfRule>
  </conditionalFormatting>
  <conditionalFormatting sqref="W39">
    <cfRule type="colorScale" priority="129">
      <colorScale>
        <cfvo type="min"/>
        <cfvo type="percentile" val="50"/>
        <cfvo type="max"/>
        <color rgb="FF63BE7B"/>
        <color rgb="FFFCFCFF"/>
        <color rgb="FFF8696B"/>
      </colorScale>
    </cfRule>
  </conditionalFormatting>
  <conditionalFormatting sqref="W7">
    <cfRule type="colorScale" priority="315">
      <colorScale>
        <cfvo type="min"/>
        <cfvo type="percentile" val="50"/>
        <cfvo type="max"/>
        <color rgb="FFF8696B"/>
        <color rgb="FFFCFCFF"/>
        <color rgb="FF63BE7B"/>
      </colorScale>
    </cfRule>
  </conditionalFormatting>
  <conditionalFormatting sqref="W7">
    <cfRule type="colorScale" priority="318">
      <colorScale>
        <cfvo type="min"/>
        <cfvo type="percentile" val="50"/>
        <cfvo type="max"/>
        <color rgb="FFF8696B"/>
        <color rgb="FFFCFCFF"/>
        <color rgb="FF63BE7B"/>
      </colorScale>
    </cfRule>
  </conditionalFormatting>
  <conditionalFormatting sqref="W14">
    <cfRule type="colorScale" priority="338">
      <colorScale>
        <cfvo type="min"/>
        <cfvo type="percentile" val="50"/>
        <cfvo type="max"/>
        <color rgb="FFF8696B"/>
        <color rgb="FFFCFCFF"/>
        <color rgb="FF63BE7B"/>
      </colorScale>
    </cfRule>
  </conditionalFormatting>
  <conditionalFormatting sqref="W23">
    <cfRule type="colorScale" priority="101">
      <colorScale>
        <cfvo type="min"/>
        <cfvo type="percentile" val="50"/>
        <cfvo type="max"/>
        <color rgb="FFF8696B"/>
        <color rgb="FFFCFCFF"/>
        <color rgb="FF63BE7B"/>
      </colorScale>
    </cfRule>
  </conditionalFormatting>
  <conditionalFormatting sqref="W31:W32">
    <cfRule type="colorScale" priority="402">
      <colorScale>
        <cfvo type="min"/>
        <cfvo type="percentile" val="50"/>
        <cfvo type="max"/>
        <color rgb="FFF8696B"/>
        <color rgb="FFFCFCFF"/>
        <color rgb="FF63BE7B"/>
      </colorScale>
    </cfRule>
  </conditionalFormatting>
  <conditionalFormatting sqref="W11:W13">
    <cfRule type="colorScale" priority="406">
      <colorScale>
        <cfvo type="min"/>
        <cfvo type="percentile" val="50"/>
        <cfvo type="max"/>
        <color rgb="FFF8696B"/>
        <color rgb="FFFCFCFF"/>
        <color rgb="FF63BE7B"/>
      </colorScale>
    </cfRule>
  </conditionalFormatting>
  <conditionalFormatting sqref="W23:W27">
    <cfRule type="colorScale" priority="409">
      <colorScale>
        <cfvo type="min"/>
        <cfvo type="percentile" val="50"/>
        <cfvo type="max"/>
        <color rgb="FFF8696B"/>
        <color rgb="FFFCFCFF"/>
        <color rgb="FF63BE7B"/>
      </colorScale>
    </cfRule>
  </conditionalFormatting>
  <conditionalFormatting sqref="W22:W27">
    <cfRule type="colorScale" priority="411">
      <colorScale>
        <cfvo type="min"/>
        <cfvo type="percentile" val="50"/>
        <cfvo type="max"/>
        <color rgb="FFF8696B"/>
        <color rgb="FFFCFCFF"/>
        <color rgb="FF63BE7B"/>
      </colorScale>
    </cfRule>
  </conditionalFormatting>
  <conditionalFormatting sqref="W6">
    <cfRule type="colorScale" priority="414">
      <colorScale>
        <cfvo type="min"/>
        <cfvo type="percentile" val="50"/>
        <cfvo type="max"/>
        <color rgb="FFF8696B"/>
        <color rgb="FFFCFCFF"/>
        <color rgb="FF63BE7B"/>
      </colorScale>
    </cfRule>
  </conditionalFormatting>
  <conditionalFormatting sqref="F6:V6">
    <cfRule type="colorScale" priority="93">
      <colorScale>
        <cfvo type="min"/>
        <cfvo type="percentile" val="50"/>
        <cfvo type="max"/>
        <color rgb="FFF8696B"/>
        <color rgb="FFFCFCFF"/>
        <color rgb="FF63BE7B"/>
      </colorScale>
    </cfRule>
  </conditionalFormatting>
  <conditionalFormatting sqref="F7:V7">
    <cfRule type="colorScale" priority="92">
      <colorScale>
        <cfvo type="min"/>
        <cfvo type="percentile" val="50"/>
        <cfvo type="max"/>
        <color rgb="FFF8696B"/>
        <color rgb="FFFCFCFF"/>
        <color rgb="FF63BE7B"/>
      </colorScale>
    </cfRule>
  </conditionalFormatting>
  <conditionalFormatting sqref="F10:V10">
    <cfRule type="colorScale" priority="90">
      <colorScale>
        <cfvo type="min"/>
        <cfvo type="percentile" val="50"/>
        <cfvo type="max"/>
        <color rgb="FFF8696B"/>
        <color rgb="FFFCFCFF"/>
        <color rgb="FF63BE7B"/>
      </colorScale>
    </cfRule>
  </conditionalFormatting>
  <conditionalFormatting sqref="F11:V11">
    <cfRule type="colorScale" priority="89">
      <colorScale>
        <cfvo type="min"/>
        <cfvo type="percentile" val="50"/>
        <cfvo type="max"/>
        <color rgb="FFF8696B"/>
        <color rgb="FFFCFCFF"/>
        <color rgb="FF63BE7B"/>
      </colorScale>
    </cfRule>
  </conditionalFormatting>
  <conditionalFormatting sqref="F12:V12">
    <cfRule type="colorScale" priority="88">
      <colorScale>
        <cfvo type="min"/>
        <cfvo type="percentile" val="50"/>
        <cfvo type="max"/>
        <color rgb="FFF8696B"/>
        <color rgb="FFFCFCFF"/>
        <color rgb="FF63BE7B"/>
      </colorScale>
    </cfRule>
  </conditionalFormatting>
  <conditionalFormatting sqref="F13:V13">
    <cfRule type="colorScale" priority="87">
      <colorScale>
        <cfvo type="min"/>
        <cfvo type="percentile" val="50"/>
        <cfvo type="max"/>
        <color rgb="FFF8696B"/>
        <color rgb="FFFCFCFF"/>
        <color rgb="FF63BE7B"/>
      </colorScale>
    </cfRule>
  </conditionalFormatting>
  <conditionalFormatting sqref="F14:V14">
    <cfRule type="colorScale" priority="86">
      <colorScale>
        <cfvo type="min"/>
        <cfvo type="percentile" val="50"/>
        <cfvo type="max"/>
        <color rgb="FFF8696B"/>
        <color rgb="FFFCFCFF"/>
        <color rgb="FF63BE7B"/>
      </colorScale>
    </cfRule>
  </conditionalFormatting>
  <conditionalFormatting sqref="F16:V16">
    <cfRule type="colorScale" priority="85">
      <colorScale>
        <cfvo type="min"/>
        <cfvo type="percentile" val="50"/>
        <cfvo type="max"/>
        <color rgb="FFF8696B"/>
        <color rgb="FFFCFCFF"/>
        <color rgb="FF63BE7B"/>
      </colorScale>
    </cfRule>
  </conditionalFormatting>
  <conditionalFormatting sqref="F17:V17">
    <cfRule type="colorScale" priority="84">
      <colorScale>
        <cfvo type="min"/>
        <cfvo type="percentile" val="50"/>
        <cfvo type="max"/>
        <color rgb="FFF8696B"/>
        <color rgb="FFFCFCFF"/>
        <color rgb="FF63BE7B"/>
      </colorScale>
    </cfRule>
  </conditionalFormatting>
  <conditionalFormatting sqref="F18:V18">
    <cfRule type="colorScale" priority="83">
      <colorScale>
        <cfvo type="min"/>
        <cfvo type="percentile" val="50"/>
        <cfvo type="max"/>
        <color rgb="FF63BE7B"/>
        <color rgb="FFFCFCFF"/>
        <color rgb="FFF8696B"/>
      </colorScale>
    </cfRule>
  </conditionalFormatting>
  <conditionalFormatting sqref="F19:V19">
    <cfRule type="colorScale" priority="82">
      <colorScale>
        <cfvo type="min"/>
        <cfvo type="percentile" val="50"/>
        <cfvo type="max"/>
        <color rgb="FF63BE7B"/>
        <color rgb="FFFCFCFF"/>
        <color rgb="FFF8696B"/>
      </colorScale>
    </cfRule>
  </conditionalFormatting>
  <conditionalFormatting sqref="F20:V20">
    <cfRule type="colorScale" priority="81">
      <colorScale>
        <cfvo type="min"/>
        <cfvo type="percentile" val="50"/>
        <cfvo type="max"/>
        <color rgb="FFF8696B"/>
        <color rgb="FFFCFCFF"/>
        <color rgb="FF63BE7B"/>
      </colorScale>
    </cfRule>
  </conditionalFormatting>
  <conditionalFormatting sqref="F21:V21">
    <cfRule type="colorScale" priority="80">
      <colorScale>
        <cfvo type="min"/>
        <cfvo type="percentile" val="50"/>
        <cfvo type="max"/>
        <color rgb="FFF8696B"/>
        <color rgb="FFFCFCFF"/>
        <color rgb="FF63BE7B"/>
      </colorScale>
    </cfRule>
  </conditionalFormatting>
  <conditionalFormatting sqref="I22:V22 F22:G22 G23:G24">
    <cfRule type="colorScale" priority="79">
      <colorScale>
        <cfvo type="min"/>
        <cfvo type="percentile" val="50"/>
        <cfvo type="max"/>
        <color rgb="FFF8696B"/>
        <color rgb="FFFCFCFF"/>
        <color rgb="FF63BE7B"/>
      </colorScale>
    </cfRule>
  </conditionalFormatting>
  <conditionalFormatting sqref="F26:V26 F27:F30">
    <cfRule type="colorScale" priority="78">
      <colorScale>
        <cfvo type="min"/>
        <cfvo type="percentile" val="50"/>
        <cfvo type="max"/>
        <color rgb="FFF8696B"/>
        <color rgb="FFFCFCFF"/>
        <color rgb="FF63BE7B"/>
      </colorScale>
    </cfRule>
  </conditionalFormatting>
  <conditionalFormatting sqref="G27:V27">
    <cfRule type="colorScale" priority="77">
      <colorScale>
        <cfvo type="min"/>
        <cfvo type="percentile" val="50"/>
        <cfvo type="max"/>
        <color rgb="FFF8696B"/>
        <color rgb="FFFCFCFF"/>
        <color rgb="FF63BE7B"/>
      </colorScale>
    </cfRule>
  </conditionalFormatting>
  <conditionalFormatting sqref="G28:V28">
    <cfRule type="colorScale" priority="76">
      <colorScale>
        <cfvo type="min"/>
        <cfvo type="percentile" val="50"/>
        <cfvo type="max"/>
        <color rgb="FF63BE7B"/>
        <color rgb="FFFCFCFF"/>
        <color rgb="FFF8696B"/>
      </colorScale>
    </cfRule>
  </conditionalFormatting>
  <conditionalFormatting sqref="G29:V29">
    <cfRule type="colorScale" priority="75">
      <colorScale>
        <cfvo type="min"/>
        <cfvo type="percentile" val="50"/>
        <cfvo type="max"/>
        <color rgb="FFF8696B"/>
        <color rgb="FFFCFCFF"/>
        <color rgb="FF63BE7B"/>
      </colorScale>
    </cfRule>
  </conditionalFormatting>
  <conditionalFormatting sqref="G30:V30">
    <cfRule type="colorScale" priority="72">
      <colorScale>
        <cfvo type="min"/>
        <cfvo type="percentile" val="50"/>
        <cfvo type="max"/>
        <color rgb="FF63BE7B"/>
        <color rgb="FFFCFCFF"/>
        <color rgb="FFF8696B"/>
      </colorScale>
    </cfRule>
  </conditionalFormatting>
  <conditionalFormatting sqref="W29">
    <cfRule type="cellIs" dxfId="2" priority="63" operator="greaterThan">
      <formula>0.05</formula>
    </cfRule>
  </conditionalFormatting>
  <conditionalFormatting sqref="W30">
    <cfRule type="cellIs" dxfId="1" priority="62" operator="greaterThan">
      <formula>0.1</formula>
    </cfRule>
  </conditionalFormatting>
  <conditionalFormatting sqref="F32:V32 F33:F37">
    <cfRule type="colorScale" priority="60">
      <colorScale>
        <cfvo type="min"/>
        <cfvo type="percentile" val="50"/>
        <cfvo type="max"/>
        <color rgb="FFF8696B"/>
        <color rgb="FFFCFCFF"/>
        <color rgb="FF63BE7B"/>
      </colorScale>
    </cfRule>
  </conditionalFormatting>
  <conditionalFormatting sqref="G33:V33">
    <cfRule type="colorScale" priority="59">
      <colorScale>
        <cfvo type="min"/>
        <cfvo type="percentile" val="50"/>
        <cfvo type="max"/>
        <color rgb="FFF8696B"/>
        <color rgb="FFFCFCFF"/>
        <color rgb="FF63BE7B"/>
      </colorScale>
    </cfRule>
  </conditionalFormatting>
  <conditionalFormatting sqref="W46">
    <cfRule type="colorScale" priority="43">
      <colorScale>
        <cfvo type="min"/>
        <cfvo type="percentile" val="50"/>
        <cfvo type="max"/>
        <color rgb="FFF8696B"/>
        <color rgb="FFFCFCFF"/>
        <color rgb="FF63BE7B"/>
      </colorScale>
    </cfRule>
  </conditionalFormatting>
  <conditionalFormatting sqref="F48:V48 F49:F51">
    <cfRule type="colorScale" priority="42">
      <colorScale>
        <cfvo type="min"/>
        <cfvo type="percentile" val="50"/>
        <cfvo type="max"/>
        <color rgb="FFF8696B"/>
        <color rgb="FFFCFCFF"/>
        <color rgb="FF63BE7B"/>
      </colorScale>
    </cfRule>
  </conditionalFormatting>
  <conditionalFormatting sqref="G49:V49">
    <cfRule type="colorScale" priority="41">
      <colorScale>
        <cfvo type="min"/>
        <cfvo type="percentile" val="50"/>
        <cfvo type="max"/>
        <color rgb="FFF8696B"/>
        <color rgb="FFFCFCFF"/>
        <color rgb="FF63BE7B"/>
      </colorScale>
    </cfRule>
  </conditionalFormatting>
  <conditionalFormatting sqref="G50:V50">
    <cfRule type="colorScale" priority="40">
      <colorScale>
        <cfvo type="min"/>
        <cfvo type="percentile" val="50"/>
        <cfvo type="max"/>
        <color rgb="FFF8696B"/>
        <color rgb="FFFCFCFF"/>
        <color rgb="FF63BE7B"/>
      </colorScale>
    </cfRule>
  </conditionalFormatting>
  <conditionalFormatting sqref="G51:V51 AY51">
    <cfRule type="colorScale" priority="39">
      <colorScale>
        <cfvo type="min"/>
        <cfvo type="percentile" val="50"/>
        <cfvo type="max"/>
        <color rgb="FFF8696B"/>
        <color rgb="FFFCFCFF"/>
        <color rgb="FF63BE7B"/>
      </colorScale>
    </cfRule>
  </conditionalFormatting>
  <conditionalFormatting sqref="F8:V8">
    <cfRule type="colorScale" priority="38">
      <colorScale>
        <cfvo type="min"/>
        <cfvo type="percentile" val="50"/>
        <cfvo type="max"/>
        <color rgb="FFF8696B"/>
        <color rgb="FFFCFCFF"/>
        <color rgb="FF63BE7B"/>
      </colorScale>
    </cfRule>
  </conditionalFormatting>
  <conditionalFormatting sqref="F9:V9">
    <cfRule type="colorScale" priority="37">
      <colorScale>
        <cfvo type="min"/>
        <cfvo type="percentile" val="50"/>
        <cfvo type="max"/>
        <color rgb="FFF8696B"/>
        <color rgb="FFFCFCFF"/>
        <color rgb="FF63BE7B"/>
      </colorScale>
    </cfRule>
  </conditionalFormatting>
  <conditionalFormatting sqref="G34:V34">
    <cfRule type="colorScale" priority="35">
      <colorScale>
        <cfvo type="min"/>
        <cfvo type="percentile" val="50"/>
        <cfvo type="max"/>
        <color rgb="FFF8696B"/>
        <color rgb="FFFCFCFF"/>
        <color rgb="FF63BE7B"/>
      </colorScale>
    </cfRule>
  </conditionalFormatting>
  <conditionalFormatting sqref="G35:V35">
    <cfRule type="colorScale" priority="34">
      <colorScale>
        <cfvo type="min"/>
        <cfvo type="percentile" val="50"/>
        <cfvo type="max"/>
        <color rgb="FFF8696B"/>
        <color rgb="FFFCFCFF"/>
        <color rgb="FF63BE7B"/>
      </colorScale>
    </cfRule>
  </conditionalFormatting>
  <conditionalFormatting sqref="G36:V36">
    <cfRule type="colorScale" priority="33">
      <colorScale>
        <cfvo type="min"/>
        <cfvo type="percentile" val="50"/>
        <cfvo type="max"/>
        <color rgb="FFF8696B"/>
        <color rgb="FFFCFCFF"/>
        <color rgb="FF63BE7B"/>
      </colorScale>
    </cfRule>
  </conditionalFormatting>
  <conditionalFormatting sqref="H23:V23 F23:G24">
    <cfRule type="colorScale" priority="32">
      <colorScale>
        <cfvo type="min"/>
        <cfvo type="percentile" val="50"/>
        <cfvo type="max"/>
        <color rgb="FFF8696B"/>
        <color rgb="FFFCFCFF"/>
        <color rgb="FF63BE7B"/>
      </colorScale>
    </cfRule>
  </conditionalFormatting>
  <conditionalFormatting sqref="H24:V24">
    <cfRule type="colorScale" priority="31">
      <colorScale>
        <cfvo type="min"/>
        <cfvo type="percentile" val="50"/>
        <cfvo type="max"/>
        <color rgb="FFF8696B"/>
        <color rgb="FFFCFCFF"/>
        <color rgb="FF63BE7B"/>
      </colorScale>
    </cfRule>
  </conditionalFormatting>
  <conditionalFormatting sqref="H2:J2">
    <cfRule type="cellIs" dxfId="0" priority="28" stopIfTrue="1" operator="lessThan">
      <formula>0</formula>
    </cfRule>
  </conditionalFormatting>
  <conditionalFormatting sqref="F32:V32">
    <cfRule type="colorScale" priority="6">
      <colorScale>
        <cfvo type="min"/>
        <cfvo type="percentile" val="50"/>
        <cfvo type="max"/>
        <color rgb="FFF8696B"/>
        <color rgb="FFFCFCFF"/>
        <color rgb="FF63BE7B"/>
      </colorScale>
    </cfRule>
  </conditionalFormatting>
  <conditionalFormatting sqref="F33:V33">
    <cfRule type="colorScale" priority="5">
      <colorScale>
        <cfvo type="min"/>
        <cfvo type="percentile" val="50"/>
        <cfvo type="max"/>
        <color rgb="FFF8696B"/>
        <color rgb="FFFCFCFF"/>
        <color rgb="FF63BE7B"/>
      </colorScale>
    </cfRule>
  </conditionalFormatting>
  <conditionalFormatting sqref="F34:V34">
    <cfRule type="colorScale" priority="25">
      <colorScale>
        <cfvo type="min"/>
        <cfvo type="percentile" val="50"/>
        <cfvo type="max"/>
        <color rgb="FFF8696B"/>
        <color rgb="FFFCFCFF"/>
        <color rgb="FF63BE7B"/>
      </colorScale>
    </cfRule>
  </conditionalFormatting>
  <conditionalFormatting sqref="F35:V35">
    <cfRule type="colorScale" priority="24">
      <colorScale>
        <cfvo type="min"/>
        <cfvo type="percentile" val="50"/>
        <cfvo type="max"/>
        <color rgb="FFF8696B"/>
        <color rgb="FFFCFCFF"/>
        <color rgb="FF63BE7B"/>
      </colorScale>
    </cfRule>
  </conditionalFormatting>
  <conditionalFormatting sqref="F36:V36">
    <cfRule type="colorScale" priority="23">
      <colorScale>
        <cfvo type="min"/>
        <cfvo type="percentile" val="50"/>
        <cfvo type="max"/>
        <color rgb="FFF8696B"/>
        <color rgb="FFFCFCFF"/>
        <color rgb="FF63BE7B"/>
      </colorScale>
    </cfRule>
  </conditionalFormatting>
  <conditionalFormatting sqref="F38:V38">
    <cfRule type="colorScale" priority="22">
      <colorScale>
        <cfvo type="min"/>
        <cfvo type="percentile" val="50"/>
        <cfvo type="max"/>
        <color rgb="FFF8696B"/>
        <color rgb="FFFCFCFF"/>
        <color rgb="FF63BE7B"/>
      </colorScale>
    </cfRule>
  </conditionalFormatting>
  <conditionalFormatting sqref="F39:V39">
    <cfRule type="colorScale" priority="21">
      <colorScale>
        <cfvo type="min"/>
        <cfvo type="percentile" val="50"/>
        <cfvo type="max"/>
        <color rgb="FFF8696B"/>
        <color rgb="FFFCFCFF"/>
        <color rgb="FF63BE7B"/>
      </colorScale>
    </cfRule>
  </conditionalFormatting>
  <conditionalFormatting sqref="F40:V40">
    <cfRule type="colorScale" priority="20">
      <colorScale>
        <cfvo type="min"/>
        <cfvo type="percentile" val="50"/>
        <cfvo type="max"/>
        <color rgb="FFF8696B"/>
        <color rgb="FFFCFCFF"/>
        <color rgb="FF63BE7B"/>
      </colorScale>
    </cfRule>
  </conditionalFormatting>
  <conditionalFormatting sqref="F41:V41">
    <cfRule type="colorScale" priority="19">
      <colorScale>
        <cfvo type="min"/>
        <cfvo type="percentile" val="50"/>
        <cfvo type="max"/>
        <color rgb="FFF8696B"/>
        <color rgb="FFFCFCFF"/>
        <color rgb="FF63BE7B"/>
      </colorScale>
    </cfRule>
  </conditionalFormatting>
  <conditionalFormatting sqref="F42:V42">
    <cfRule type="colorScale" priority="18">
      <colorScale>
        <cfvo type="min"/>
        <cfvo type="percentile" val="50"/>
        <cfvo type="max"/>
        <color rgb="FF63BE7B"/>
        <color rgb="FFFCFCFF"/>
        <color rgb="FFF8696B"/>
      </colorScale>
    </cfRule>
  </conditionalFormatting>
  <conditionalFormatting sqref="F43:V43">
    <cfRule type="colorScale" priority="17">
      <colorScale>
        <cfvo type="min"/>
        <cfvo type="percentile" val="50"/>
        <cfvo type="max"/>
        <color rgb="FF63BE7B"/>
        <color rgb="FFFCFCFF"/>
        <color rgb="FFF8696B"/>
      </colorScale>
    </cfRule>
  </conditionalFormatting>
  <conditionalFormatting sqref="F44:V44">
    <cfRule type="colorScale" priority="16">
      <colorScale>
        <cfvo type="min"/>
        <cfvo type="percentile" val="50"/>
        <cfvo type="max"/>
        <color rgb="FF63BE7B"/>
        <color rgb="FFFCFCFF"/>
        <color rgb="FFF8696B"/>
      </colorScale>
    </cfRule>
  </conditionalFormatting>
  <conditionalFormatting sqref="F45:V45">
    <cfRule type="colorScale" priority="14">
      <colorScale>
        <cfvo type="min"/>
        <cfvo type="percentile" val="50"/>
        <cfvo type="max"/>
        <color rgb="FFF8696B"/>
        <color rgb="FFFCFCFF"/>
        <color rgb="FF63BE7B"/>
      </colorScale>
    </cfRule>
  </conditionalFormatting>
  <conditionalFormatting sqref="F52:V52">
    <cfRule type="colorScale" priority="12">
      <colorScale>
        <cfvo type="min"/>
        <cfvo type="percentile" val="50"/>
        <cfvo type="max"/>
        <color rgb="FFF8696B"/>
        <color rgb="FFFCFCFF"/>
        <color rgb="FF63BE7B"/>
      </colorScale>
    </cfRule>
  </conditionalFormatting>
  <conditionalFormatting sqref="F46:V46">
    <cfRule type="colorScale" priority="11">
      <colorScale>
        <cfvo type="min"/>
        <cfvo type="percentile" val="50"/>
        <cfvo type="max"/>
        <color rgb="FF63BE7B"/>
        <color rgb="FFFCFCFF"/>
        <color rgb="FFF8696B"/>
      </colorScale>
    </cfRule>
  </conditionalFormatting>
  <conditionalFormatting sqref="F26:V26">
    <cfRule type="colorScale" priority="10">
      <colorScale>
        <cfvo type="min"/>
        <cfvo type="percentile" val="50"/>
        <cfvo type="max"/>
        <color rgb="FFF8696B"/>
        <color rgb="FFFCFCFF"/>
        <color rgb="FF63BE7B"/>
      </colorScale>
    </cfRule>
  </conditionalFormatting>
  <conditionalFormatting sqref="F27:V27">
    <cfRule type="colorScale" priority="9">
      <colorScale>
        <cfvo type="min"/>
        <cfvo type="percentile" val="50"/>
        <cfvo type="max"/>
        <color rgb="FFF8696B"/>
        <color rgb="FFFCFCFF"/>
        <color rgb="FF63BE7B"/>
      </colorScale>
    </cfRule>
  </conditionalFormatting>
  <conditionalFormatting sqref="F28:V28">
    <cfRule type="colorScale" priority="8">
      <colorScale>
        <cfvo type="min"/>
        <cfvo type="percentile" val="50"/>
        <cfvo type="max"/>
        <color rgb="FF63BE7B"/>
        <color rgb="FFFCFCFF"/>
        <color rgb="FFF8696B"/>
      </colorScale>
    </cfRule>
  </conditionalFormatting>
  <conditionalFormatting sqref="F29:V29">
    <cfRule type="colorScale" priority="7">
      <colorScale>
        <cfvo type="min"/>
        <cfvo type="percentile" val="50"/>
        <cfvo type="max"/>
        <color rgb="FFF8696B"/>
        <color rgb="FFFCFCFF"/>
        <color rgb="FF63BE7B"/>
      </colorScale>
    </cfRule>
  </conditionalFormatting>
  <conditionalFormatting sqref="F48:V48">
    <cfRule type="colorScale" priority="1">
      <colorScale>
        <cfvo type="min"/>
        <cfvo type="percentile" val="50"/>
        <cfvo type="max"/>
        <color rgb="FFF8696B"/>
        <color rgb="FFFCFCFF"/>
        <color rgb="FF63BE7B"/>
      </colorScale>
    </cfRule>
  </conditionalFormatting>
  <conditionalFormatting sqref="F49:V49">
    <cfRule type="colorScale" priority="3">
      <colorScale>
        <cfvo type="min"/>
        <cfvo type="percentile" val="50"/>
        <cfvo type="max"/>
        <color rgb="FFF8696B"/>
        <color rgb="FFFCFCFF"/>
        <color rgb="FF63BE7B"/>
      </colorScale>
    </cfRule>
  </conditionalFormatting>
  <conditionalFormatting sqref="F50:V50">
    <cfRule type="colorScale" priority="2">
      <colorScale>
        <cfvo type="min"/>
        <cfvo type="percentile" val="50"/>
        <cfvo type="max"/>
        <color rgb="FFF8696B"/>
        <color rgb="FFFCFCFF"/>
        <color rgb="FF63BE7B"/>
      </colorScale>
    </cfRule>
  </conditionalFormatting>
  <pageMargins left="0.7" right="0.7" top="0.75" bottom="0.75" header="0.3" footer="0.3"/>
  <drawing r:id="rId1"/>
  <extLst>
    <ext xmlns:x15="http://schemas.microsoft.com/office/spreadsheetml/2010/11/main" uri="{F7C9EE02-42E1-4005-9D12-6889AFFD525C}">
      <x15:webExtensions xmlns:xm="http://schemas.microsoft.com/office/excel/2006/main">
        <x15:webExtension appRef="{5F651232-4ED0-7241-B537-6F8F5BE754F0}">
          <xm:f>HBook!$H$2</xm:f>
        </x15:webExtension>
        <x15:webExtension appRef="{C0550556-AB09-0142-85B1-674F35B4514F}">
          <xm:f>HBook!$H$2</xm:f>
        </x15:webExtension>
        <x15:webExtension appRef="{F39B801E-A2DA-1F45-A525-9EAF5ED600EE}">
          <xm:f>HBook!$I$2</xm:f>
        </x15:webExtension>
        <x15:webExtension appRef="{CEEFB261-C9BF-944A-9CC1-9C7ECF741CD5}">
          <xm:f>HBook!$I$2</xm:f>
        </x15:webExtension>
        <x15:webExtension appRef="{BA1C8645-AE1E-D848-BBBA-428B60499A69}">
          <xm:f>HBook!$J$2</xm:f>
        </x15:webExtension>
        <x15:webExtension appRef="{BCDDC7ED-B058-2A40-8B7B-32E2DDC42158}">
          <xm:f>HBook!$J$2</xm:f>
        </x15:webExtension>
        <x15:webExtension appRef="{71E5784A-B1E7-FE4E-A4CD-289EB353DC65}">
          <xm:f>HBook!$J$2</xm:f>
        </x15:webExtension>
        <x15:webExtension appRef="{AF2EC124-CC00-3048-8B29-AFC3FD891D7B}">
          <xm:f>HBook!$J$2</xm:f>
        </x15:webExtension>
      </x15:webExtens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F2C8B1-954D-7F4F-96F4-556AA697041C}">
  <sheetPr codeName="Sheet3">
    <tabColor theme="3" tint="0.499984740745262"/>
  </sheetPr>
  <dimension ref="A1:AB53"/>
  <sheetViews>
    <sheetView workbookViewId="0">
      <selection activeCell="E22" sqref="E22"/>
    </sheetView>
  </sheetViews>
  <sheetFormatPr baseColWidth="10" defaultRowHeight="16" x14ac:dyDescent="0.2"/>
  <cols>
    <col min="1" max="1" width="19.83203125" customWidth="1"/>
    <col min="2" max="2" width="12.6640625" customWidth="1"/>
    <col min="3" max="3" width="5.33203125" customWidth="1"/>
    <col min="4" max="4" width="26.83203125" customWidth="1"/>
  </cols>
  <sheetData>
    <row r="1" spans="1:28" x14ac:dyDescent="0.2">
      <c r="A1" s="6"/>
      <c r="B1" s="6"/>
      <c r="C1" s="6"/>
      <c r="D1" s="6"/>
      <c r="E1" s="6">
        <v>1</v>
      </c>
      <c r="F1" s="6">
        <v>2</v>
      </c>
      <c r="G1" s="6">
        <v>3</v>
      </c>
      <c r="H1" s="6">
        <v>4</v>
      </c>
      <c r="I1" s="6">
        <v>5</v>
      </c>
      <c r="J1" s="6">
        <v>6</v>
      </c>
      <c r="K1" s="6">
        <v>7</v>
      </c>
      <c r="L1" s="6">
        <v>8</v>
      </c>
      <c r="M1" s="6">
        <v>9</v>
      </c>
      <c r="N1" s="6">
        <v>10</v>
      </c>
      <c r="O1" s="6">
        <v>11</v>
      </c>
      <c r="P1" s="6">
        <v>12</v>
      </c>
      <c r="Q1" s="6">
        <v>13</v>
      </c>
      <c r="R1" s="6">
        <v>14</v>
      </c>
      <c r="S1" s="6">
        <v>15</v>
      </c>
      <c r="T1" s="6">
        <v>16</v>
      </c>
      <c r="U1" s="6">
        <v>17</v>
      </c>
      <c r="V1" s="6">
        <v>18</v>
      </c>
      <c r="W1" s="6">
        <v>19</v>
      </c>
      <c r="X1" s="6">
        <v>20</v>
      </c>
      <c r="Y1" s="6">
        <v>21</v>
      </c>
      <c r="Z1" s="6"/>
      <c r="AA1" s="6"/>
      <c r="AB1" s="6"/>
    </row>
    <row r="2" spans="1:28" x14ac:dyDescent="0.2">
      <c r="A2" t="s">
        <v>222</v>
      </c>
      <c r="B2" s="11" t="s">
        <v>491</v>
      </c>
      <c r="C2" s="6"/>
      <c r="D2" t="s">
        <v>223</v>
      </c>
      <c r="E2" s="37">
        <f>(E16+E18-E19)/E36</f>
        <v>14.231034482758618</v>
      </c>
      <c r="F2" s="6"/>
      <c r="G2" s="6"/>
      <c r="H2" s="6"/>
      <c r="I2" s="6"/>
      <c r="J2" s="6"/>
      <c r="K2" s="6"/>
      <c r="L2" s="6"/>
      <c r="M2" s="6"/>
      <c r="N2" s="6"/>
      <c r="O2" s="6"/>
      <c r="P2" s="6"/>
      <c r="Q2" s="6"/>
      <c r="R2" s="6"/>
      <c r="S2" s="6"/>
      <c r="T2" s="6"/>
      <c r="U2" s="6"/>
      <c r="V2" s="6"/>
      <c r="W2" s="6"/>
      <c r="X2" s="6"/>
      <c r="Y2" s="6"/>
      <c r="Z2" s="6"/>
      <c r="AA2" s="6"/>
      <c r="AB2" s="6"/>
    </row>
    <row r="3" spans="1:28" x14ac:dyDescent="0.2">
      <c r="A3" s="6"/>
      <c r="B3" s="6"/>
      <c r="C3" s="6"/>
      <c r="D3" s="6"/>
      <c r="E3" s="6"/>
      <c r="F3" s="6"/>
      <c r="G3" s="6"/>
      <c r="H3" s="6"/>
      <c r="I3" s="6"/>
      <c r="J3" s="6"/>
      <c r="K3" s="6"/>
      <c r="L3" s="6"/>
      <c r="M3" s="6"/>
      <c r="N3" s="6"/>
      <c r="O3" s="6"/>
      <c r="P3" s="6"/>
      <c r="Q3" s="6"/>
      <c r="R3" s="6"/>
      <c r="S3" s="6"/>
      <c r="T3" s="6"/>
      <c r="U3" s="6"/>
      <c r="V3" s="6"/>
      <c r="W3" s="6"/>
      <c r="X3" s="6"/>
      <c r="Y3" s="6"/>
      <c r="Z3" s="6"/>
      <c r="AA3" s="6"/>
      <c r="AB3" s="6"/>
    </row>
    <row r="4" spans="1:28" x14ac:dyDescent="0.2">
      <c r="A4" s="6"/>
      <c r="B4" s="6"/>
      <c r="C4" s="6"/>
      <c r="D4" t="s">
        <v>43</v>
      </c>
      <c r="E4" t="str">
        <f>QData!B5</f>
        <v>Q4 2025</v>
      </c>
      <c r="F4" t="str">
        <f>QData!C5</f>
        <v>Q3 2025</v>
      </c>
      <c r="G4" t="str">
        <f>QData!D5</f>
        <v>Q2 2025</v>
      </c>
      <c r="H4" t="str">
        <f>QData!E5</f>
        <v>Q1 2025</v>
      </c>
      <c r="I4" t="str">
        <f>QData!F5</f>
        <v>Q4 2024</v>
      </c>
      <c r="J4" t="str">
        <f>QData!G5</f>
        <v>Q3 2024</v>
      </c>
      <c r="K4" t="str">
        <f>QData!H5</f>
        <v>Q2 2024</v>
      </c>
      <c r="L4" t="str">
        <f>QData!I5</f>
        <v>Q1 2024</v>
      </c>
      <c r="M4" t="str">
        <f>QData!J5</f>
        <v>Q4 2023</v>
      </c>
      <c r="N4" t="str">
        <f>QData!K5</f>
        <v>Q3 2023</v>
      </c>
      <c r="O4" t="str">
        <f>QData!L5</f>
        <v>Q2 2023</v>
      </c>
      <c r="P4" t="str">
        <f>QData!M5</f>
        <v>Q1 2023</v>
      </c>
      <c r="Q4" t="str">
        <f>QData!N5</f>
        <v>Q4 2022</v>
      </c>
      <c r="R4" t="str">
        <f>QData!O5</f>
        <v>Q3 2022</v>
      </c>
      <c r="S4" t="str">
        <f>QData!P5</f>
        <v>Q2 2022</v>
      </c>
      <c r="T4" t="str">
        <f>QData!Q5</f>
        <v>Q1 2022</v>
      </c>
      <c r="U4" t="str">
        <f>QData!R5</f>
        <v>Q4 2021</v>
      </c>
      <c r="V4" t="str">
        <f>QData!S5</f>
        <v>Q3 2021</v>
      </c>
      <c r="W4" t="str">
        <f>QData!T5</f>
        <v>Q2 2021</v>
      </c>
      <c r="X4" t="str">
        <f>QData!U5</f>
        <v>Q1 2021</v>
      </c>
      <c r="Y4" s="6"/>
      <c r="Z4" s="6"/>
      <c r="AA4" s="6"/>
      <c r="AB4" s="6"/>
    </row>
    <row r="5" spans="1:28" ht="19" x14ac:dyDescent="0.25">
      <c r="A5" s="6"/>
      <c r="B5" s="28"/>
      <c r="C5" s="28"/>
      <c r="D5" s="7" t="s">
        <v>0</v>
      </c>
      <c r="E5" s="6"/>
      <c r="F5" s="6"/>
      <c r="G5" s="6"/>
      <c r="H5" s="6"/>
      <c r="I5" s="6"/>
      <c r="J5" s="6"/>
      <c r="K5" s="6"/>
      <c r="L5" s="6"/>
      <c r="M5" s="6"/>
      <c r="N5" s="6"/>
      <c r="O5" s="6"/>
      <c r="P5" s="6"/>
      <c r="Q5" s="6"/>
      <c r="R5" s="6"/>
      <c r="S5" s="6"/>
      <c r="T5" s="6"/>
      <c r="U5" s="6"/>
      <c r="V5" s="6"/>
      <c r="W5" s="6"/>
      <c r="X5" s="6"/>
      <c r="Y5" s="6"/>
      <c r="Z5" s="6"/>
      <c r="AA5" s="6"/>
      <c r="AB5" s="6"/>
    </row>
    <row r="6" spans="1:28" x14ac:dyDescent="0.2">
      <c r="A6" s="6"/>
      <c r="B6" s="28"/>
      <c r="C6" s="28"/>
      <c r="D6" s="27" t="s">
        <v>32</v>
      </c>
      <c r="E6">
        <f>VLOOKUP(D6,QData!$A$1:$V$162,F1,FALSE)</f>
        <v>246.89</v>
      </c>
      <c r="F6">
        <f>VLOOKUP($D6,QData!$A$1:$V$162,G1,FALSE)</f>
        <v>234.14</v>
      </c>
      <c r="G6">
        <f>VLOOKUP($D6,QData!$A$1:$V$162,H1,FALSE)</f>
        <v>242.27</v>
      </c>
      <c r="H6">
        <f>VLOOKUP($D6,QData!$A$1:$V$162,I1,FALSE)</f>
        <v>239.73</v>
      </c>
      <c r="I6">
        <f>VLOOKUP($D6,QData!$A$1:$V$162,J1,FALSE)</f>
        <v>265.5</v>
      </c>
      <c r="J6">
        <f>VLOOKUP($D6,QData!$A$1:$V$162,K1,FALSE)</f>
        <v>254.14</v>
      </c>
      <c r="K6">
        <f>VLOOKUP($D6,QData!$A$1:$V$162,L1,FALSE)</f>
        <v>258.39999999999998</v>
      </c>
      <c r="L6">
        <f>VLOOKUP($D6,QData!$A$1:$V$162,M1,FALSE)</f>
        <v>235.49</v>
      </c>
      <c r="M6">
        <f>VLOOKUP($D6,QData!$A$1:$V$162,N1,FALSE)</f>
        <v>253.84</v>
      </c>
      <c r="N6">
        <f>VLOOKUP($D6,QData!$A$1:$V$162,O1,FALSE)</f>
        <v>230.37</v>
      </c>
      <c r="O6">
        <f>VLOOKUP($D6,QData!$A$1:$V$162,P1,FALSE)</f>
        <v>231.74</v>
      </c>
      <c r="P6">
        <f>VLOOKUP($D6,QData!$A$1:$V$162,Q1,FALSE)</f>
        <v>220.29</v>
      </c>
      <c r="Q6">
        <f>VLOOKUP($D6,QData!$A$1:$V$162,R1,FALSE)</f>
        <v>253.37</v>
      </c>
      <c r="R6">
        <f>VLOOKUP($D6,QData!$A$1:$V$162,S1,FALSE)</f>
        <v>216.09</v>
      </c>
      <c r="S6">
        <f>VLOOKUP($D6,QData!$A$1:$V$162,T1,FALSE)</f>
        <v>223.64</v>
      </c>
      <c r="T6">
        <f>VLOOKUP($D6,QData!$A$1:$V$162,U1,FALSE)</f>
        <v>213.46</v>
      </c>
      <c r="U6">
        <f>VLOOKUP($D6,QData!$A$1:$V$162,V1,FALSE)</f>
        <v>186.24</v>
      </c>
      <c r="V6">
        <f>VLOOKUP($D6,QData!$A$1:$V$162,W1,FALSE)</f>
        <v>166.55</v>
      </c>
      <c r="W6">
        <f>VLOOKUP($D6,QData!$A$1:$V$162,X1,FALSE)</f>
        <v>157.79</v>
      </c>
      <c r="X6">
        <f>VLOOKUP($D6,QData!$A$1:$V$162,Y1,FALSE)</f>
        <v>139.07</v>
      </c>
      <c r="Y6" s="6"/>
      <c r="Z6" s="6"/>
      <c r="AA6" s="6"/>
      <c r="AB6" s="6"/>
    </row>
    <row r="7" spans="1:28" x14ac:dyDescent="0.2">
      <c r="A7" s="6"/>
      <c r="B7" s="28"/>
      <c r="C7" s="28"/>
      <c r="D7" s="27" t="s">
        <v>1</v>
      </c>
      <c r="E7">
        <f>VLOOKUP($D$7,QData!$A$1:$V$162,F$1,FALSE)</f>
        <v>83.93</v>
      </c>
      <c r="F7">
        <f>VLOOKUP($D$7,QData!$A$1:$V$162,G$1,FALSE)</f>
        <v>90.88</v>
      </c>
      <c r="G7">
        <f>VLOOKUP($D$7,QData!$A$1:$V$162,H$1,FALSE)</f>
        <v>74.819999999999993</v>
      </c>
      <c r="H7">
        <f>VLOOKUP($D$7,QData!$A$1:$V$162,I$1,FALSE)</f>
        <v>89.03</v>
      </c>
      <c r="I7">
        <f>VLOOKUP($D$7,QData!$A$1:$V$162,J$1,FALSE)</f>
        <v>93.88</v>
      </c>
      <c r="J7">
        <f>VLOOKUP($D$7,QData!$A$1:$V$162,K$1,FALSE)</f>
        <v>93.9</v>
      </c>
      <c r="K7">
        <f>VLOOKUP($D$7,QData!$A$1:$V$162,L$1,FALSE)</f>
        <v>99.98</v>
      </c>
      <c r="L7">
        <f>VLOOKUP($D$7,QData!$A$1:$V$162,M$1,FALSE)</f>
        <v>86.85</v>
      </c>
      <c r="M7">
        <f>VLOOKUP($D$7,QData!$A$1:$V$162,N$1,FALSE)</f>
        <v>91.22</v>
      </c>
      <c r="N7">
        <f>VLOOKUP($D$7,QData!$A$1:$V$162,O$1,FALSE)</f>
        <v>82.04</v>
      </c>
      <c r="O7">
        <f>VLOOKUP($D$7,QData!$A$1:$V$162,P$1,FALSE)</f>
        <v>86.31</v>
      </c>
      <c r="P7">
        <f>VLOOKUP($D$7,QData!$A$1:$V$162,Q$1,FALSE)</f>
        <v>82.52</v>
      </c>
      <c r="Q7">
        <f>VLOOKUP($D$7,QData!$A$1:$V$162,R$1,FALSE)</f>
        <v>85.48</v>
      </c>
      <c r="R7">
        <f>VLOOKUP($D$7,QData!$A$1:$V$162,S$1,FALSE)</f>
        <v>75.75</v>
      </c>
      <c r="S7">
        <f>VLOOKUP($D$7,QData!$A$1:$V$162,T$1,FALSE)</f>
        <v>82.05</v>
      </c>
      <c r="T7">
        <f>VLOOKUP($D$7,QData!$A$1:$V$162,U$1,FALSE)</f>
        <v>77.569999999999993</v>
      </c>
      <c r="U7">
        <f>VLOOKUP($D$7,QData!$A$1:$V$162,V$1,FALSE)</f>
        <v>66.22</v>
      </c>
      <c r="V7">
        <f>VLOOKUP($D$7,QData!$A$1:$V$162,W$1,FALSE)</f>
        <v>55.57</v>
      </c>
      <c r="W7">
        <f>VLOOKUP($D$7,QData!$A$1:$V$162,X$1,FALSE)</f>
        <v>56.52</v>
      </c>
      <c r="X7">
        <f>VLOOKUP($D$7,QData!$A$1:$V$162,Y$1,FALSE)</f>
        <v>47.05</v>
      </c>
      <c r="Y7" s="6"/>
      <c r="Z7" s="6"/>
      <c r="AA7" s="6"/>
      <c r="AB7" s="6"/>
    </row>
    <row r="8" spans="1:28" x14ac:dyDescent="0.2">
      <c r="A8" s="6"/>
      <c r="B8" s="28"/>
      <c r="C8" s="28"/>
      <c r="D8" s="27" t="s">
        <v>17</v>
      </c>
      <c r="E8">
        <f>VLOOKUP($D8,QData!$A$1:$V$162,F$1,FALSE)</f>
        <v>-2.68</v>
      </c>
      <c r="F8">
        <f>VLOOKUP($D8,QData!$A$1:$V$162,G$1,FALSE)</f>
        <v>3.96</v>
      </c>
      <c r="G8">
        <f>VLOOKUP($D8,QData!$A$1:$V$162,H$1,FALSE)</f>
        <v>-15.04</v>
      </c>
      <c r="H8">
        <f>VLOOKUP($D8,QData!$A$1:$V$162,I$1,FALSE)</f>
        <v>8.6300000000000008</v>
      </c>
      <c r="I8">
        <f>VLOOKUP($D8,QData!$A$1:$V$162,J$1,FALSE)</f>
        <v>11.81</v>
      </c>
      <c r="J8">
        <f>VLOOKUP($D8,QData!$A$1:$V$162,K$1,FALSE)</f>
        <v>9.73</v>
      </c>
      <c r="K8">
        <f>VLOOKUP($D8,QData!$A$1:$V$162,L$1,FALSE)</f>
        <v>15.81</v>
      </c>
      <c r="L8">
        <f>VLOOKUP($D8,QData!$A$1:$V$162,M$1,FALSE)</f>
        <v>9.2799999999999994</v>
      </c>
      <c r="M8">
        <f>VLOOKUP($D8,QData!$A$1:$V$162,N$1,FALSE)</f>
        <v>13.9</v>
      </c>
      <c r="N8">
        <f>VLOOKUP($D8,QData!$A$1:$V$162,O$1,FALSE)</f>
        <v>12.03</v>
      </c>
      <c r="O8">
        <f>VLOOKUP($D8,QData!$A$1:$V$162,P$1,FALSE)</f>
        <v>14.11</v>
      </c>
      <c r="P8">
        <f>VLOOKUP($D8,QData!$A$1:$V$162,Q$1,FALSE)</f>
        <v>8.39</v>
      </c>
      <c r="Q8">
        <f>VLOOKUP($D8,QData!$A$1:$V$162,R$1,FALSE)</f>
        <v>11.83</v>
      </c>
      <c r="R8">
        <f>VLOOKUP($D8,QData!$A$1:$V$162,S$1,FALSE)</f>
        <v>9.89</v>
      </c>
      <c r="S8">
        <f>VLOOKUP($D8,QData!$A$1:$V$162,T$1,FALSE)</f>
        <v>15.2</v>
      </c>
      <c r="T8">
        <f>VLOOKUP($D8,QData!$A$1:$V$162,U$1,FALSE)</f>
        <v>-7.26</v>
      </c>
      <c r="U8">
        <f>VLOOKUP($D8,QData!$A$1:$V$162,V$1,FALSE)</f>
        <v>9.59</v>
      </c>
      <c r="V8">
        <f>VLOOKUP($D8,QData!$A$1:$V$162,W$1,FALSE)</f>
        <v>6.59</v>
      </c>
      <c r="W8">
        <f>VLOOKUP($D8,QData!$A$1:$V$162,X$1,FALSE)</f>
        <v>-4.0999999999999996</v>
      </c>
      <c r="X8">
        <f>VLOOKUP($D8,QData!$A$1:$V$162,Y$1,FALSE)</f>
        <v>-2.97</v>
      </c>
      <c r="Y8" s="6"/>
      <c r="Z8" s="6"/>
      <c r="AA8" s="6"/>
      <c r="AB8" s="6"/>
    </row>
    <row r="9" spans="1:28" x14ac:dyDescent="0.2">
      <c r="A9" s="6"/>
      <c r="B9" s="28"/>
      <c r="C9" s="28"/>
      <c r="D9" s="27" t="s">
        <v>2</v>
      </c>
      <c r="E9">
        <f>VLOOKUP($D$9,QData!$A$1:$V$162,F$1,FALSE)</f>
        <v>21.01</v>
      </c>
      <c r="F9">
        <f>VLOOKUP($D$9,QData!$A$1:$V$162,G$1,FALSE)</f>
        <v>37.79</v>
      </c>
      <c r="G9">
        <f>VLOOKUP($D$9,QData!$A$1:$V$162,H$1,FALSE)</f>
        <v>-1</v>
      </c>
      <c r="H9">
        <f>VLOOKUP($D$9,QData!$A$1:$V$162,I$1,FALSE)</f>
        <v>32.15</v>
      </c>
      <c r="I9">
        <f>VLOOKUP($D$9,QData!$A$1:$V$162,J$1,FALSE)</f>
        <v>37.14</v>
      </c>
      <c r="J9">
        <f>VLOOKUP($D$9,QData!$A$1:$V$162,K$1,FALSE)</f>
        <v>33.340000000000003</v>
      </c>
      <c r="K9">
        <f>VLOOKUP($D$9,QData!$A$1:$V$162,L$1,FALSE)</f>
        <v>44.29</v>
      </c>
      <c r="L9">
        <f>VLOOKUP($D$9,QData!$A$1:$V$162,M$1,FALSE)</f>
        <v>34.57</v>
      </c>
      <c r="M9">
        <f>VLOOKUP($D$9,QData!$A$1:$V$162,N$1,FALSE)</f>
        <v>35.69</v>
      </c>
      <c r="N9">
        <f>VLOOKUP($D$9,QData!$A$1:$V$162,O$1,FALSE)</f>
        <v>31.57</v>
      </c>
      <c r="O9">
        <f>VLOOKUP($D$9,QData!$A$1:$V$162,P$1,FALSE)</f>
        <v>37.479999999999997</v>
      </c>
      <c r="P9">
        <f>VLOOKUP($D$9,QData!$A$1:$V$162,Q$1,FALSE)</f>
        <v>32.92</v>
      </c>
      <c r="Q9">
        <f>VLOOKUP($D$9,QData!$A$1:$V$162,R$1,FALSE)</f>
        <v>31.81</v>
      </c>
      <c r="R9">
        <f>VLOOKUP($D$9,QData!$A$1:$V$162,S$1,FALSE)</f>
        <v>26.92</v>
      </c>
      <c r="S9">
        <f>VLOOKUP($D$9,QData!$A$1:$V$162,T$1,FALSE)</f>
        <v>36.1</v>
      </c>
      <c r="T9">
        <f>VLOOKUP($D$9,QData!$A$1:$V$162,U$1,FALSE)</f>
        <v>33.75</v>
      </c>
      <c r="U9">
        <f>VLOOKUP($D$9,QData!$A$1:$V$162,V$1,FALSE)</f>
        <v>20.010000000000002</v>
      </c>
      <c r="V9">
        <f>VLOOKUP($D$9,QData!$A$1:$V$162,W$1,FALSE)</f>
        <v>17.28</v>
      </c>
      <c r="W9">
        <f>VLOOKUP($D$9,QData!$A$1:$V$162,X$1,FALSE)</f>
        <v>22.9</v>
      </c>
      <c r="X9">
        <f>VLOOKUP($D$9,QData!$A$1:$V$162,Y$1,FALSE)</f>
        <v>10.61</v>
      </c>
      <c r="Y9" s="6"/>
      <c r="Z9" s="6"/>
      <c r="AA9" s="6"/>
      <c r="AB9" s="6"/>
    </row>
    <row r="10" spans="1:28" x14ac:dyDescent="0.2">
      <c r="A10" s="6"/>
      <c r="B10" s="28"/>
      <c r="C10" s="28"/>
      <c r="D10" s="27" t="s">
        <v>3</v>
      </c>
      <c r="E10">
        <f>VLOOKUP($D$10,QData!$A$1:$V$162,F$1,FALSE)</f>
        <v>9.0500000000000007</v>
      </c>
      <c r="F10">
        <f>VLOOKUP($D$10,QData!$A$1:$V$162,G$1,FALSE)</f>
        <v>25.59</v>
      </c>
      <c r="G10">
        <f>VLOOKUP($D$10,QData!$A$1:$V$162,H$1,FALSE)</f>
        <v>-13.19</v>
      </c>
      <c r="H10">
        <f>VLOOKUP($D$10,QData!$A$1:$V$162,I$1,FALSE)</f>
        <v>20.309999999999999</v>
      </c>
      <c r="I10">
        <f>VLOOKUP($D$10,QData!$A$1:$V$162,J$1,FALSE)</f>
        <v>26.76</v>
      </c>
      <c r="J10">
        <f>VLOOKUP($D$10,QData!$A$1:$V$162,K$1,FALSE)</f>
        <v>21.77</v>
      </c>
      <c r="K10">
        <f>VLOOKUP($D$10,QData!$A$1:$V$162,L$1,FALSE)</f>
        <v>32.69</v>
      </c>
      <c r="L10">
        <f>VLOOKUP($D$10,QData!$A$1:$V$162,M$1,FALSE)</f>
        <v>23.68</v>
      </c>
      <c r="M10">
        <f>VLOOKUP($D$10,QData!$A$1:$V$162,N$1,FALSE)</f>
        <v>27.25</v>
      </c>
      <c r="N10">
        <f>VLOOKUP($D$10,QData!$A$1:$V$162,O$1,FALSE)</f>
        <v>21.08</v>
      </c>
      <c r="O10">
        <f>VLOOKUP($D$10,QData!$A$1:$V$162,P$1,FALSE)</f>
        <v>27.05</v>
      </c>
      <c r="P10">
        <f>VLOOKUP($D$10,QData!$A$1:$V$162,Q$1,FALSE)</f>
        <v>22.45</v>
      </c>
      <c r="Q10">
        <f>VLOOKUP($D$10,QData!$A$1:$V$162,R$1,FALSE)</f>
        <v>23.53</v>
      </c>
      <c r="R10">
        <f>VLOOKUP($D$10,QData!$A$1:$V$162,S$1,FALSE)</f>
        <v>16.649999999999999</v>
      </c>
      <c r="S10">
        <f>VLOOKUP($D$10,QData!$A$1:$V$162,T$1,FALSE)</f>
        <v>25.6</v>
      </c>
      <c r="T10">
        <f>VLOOKUP($D$10,QData!$A$1:$V$162,U$1,FALSE)</f>
        <v>23.28</v>
      </c>
      <c r="U10">
        <f>VLOOKUP($D$10,QData!$A$1:$V$162,V$1,FALSE)</f>
        <v>16.7</v>
      </c>
      <c r="V10">
        <f>VLOOKUP($D$10,QData!$A$1:$V$162,W$1,FALSE)</f>
        <v>10.29</v>
      </c>
      <c r="W10">
        <f>VLOOKUP($D$10,QData!$A$1:$V$162,X$1,FALSE)</f>
        <v>15.78</v>
      </c>
      <c r="X10">
        <f>VLOOKUP($D$10,QData!$A$1:$V$162,Y$1,FALSE)</f>
        <v>3.53</v>
      </c>
      <c r="Y10" s="6"/>
      <c r="Z10" s="6"/>
      <c r="AA10" s="6"/>
      <c r="AB10" s="6"/>
    </row>
    <row r="11" spans="1:28" x14ac:dyDescent="0.2">
      <c r="A11" s="6"/>
      <c r="B11" s="28"/>
      <c r="C11" s="28"/>
      <c r="D11" s="27" t="s">
        <v>36</v>
      </c>
      <c r="E11">
        <f>VLOOKUP($D$11,QData!$A$1:$V$162,F$1,FALSE)</f>
        <v>0.33989999999999998</v>
      </c>
      <c r="F11">
        <f>VLOOKUP($D$11,QData!$A$1:$V$162,G$1,FALSE)</f>
        <v>0.38819999999999999</v>
      </c>
      <c r="G11">
        <f>VLOOKUP($D$11,QData!$A$1:$V$162,H$1,FALSE)</f>
        <v>0.30880000000000002</v>
      </c>
      <c r="H11">
        <f>VLOOKUP($D$11,QData!$A$1:$V$162,I$1,FALSE)</f>
        <v>0.37140000000000001</v>
      </c>
      <c r="I11">
        <f>VLOOKUP($D$11,QData!$A$1:$V$162,J$1,FALSE)</f>
        <v>0.35360000000000003</v>
      </c>
      <c r="J11">
        <f>VLOOKUP($D$11,QData!$A$1:$V$162,K$1,FALSE)</f>
        <v>0.3695</v>
      </c>
      <c r="K11">
        <f>VLOOKUP($D$11,QData!$A$1:$V$162,L$1,FALSE)</f>
        <v>0.38690000000000002</v>
      </c>
      <c r="L11">
        <f>VLOOKUP($D$11,QData!$A$1:$V$162,M$1,FALSE)</f>
        <v>0.36880000000000002</v>
      </c>
      <c r="M11">
        <f>VLOOKUP($D$11,QData!$A$1:$V$162,N$1,FALSE)</f>
        <v>0.3594</v>
      </c>
      <c r="N11">
        <f>VLOOKUP($D$11,QData!$A$1:$V$162,O$1,FALSE)</f>
        <v>0.35610000000000003</v>
      </c>
      <c r="O11">
        <f>VLOOKUP($D$11,QData!$A$1:$V$162,P$1,FALSE)</f>
        <v>0.37240000000000001</v>
      </c>
      <c r="P11">
        <f>VLOOKUP($D$11,QData!$A$1:$V$162,Q$1,FALSE)</f>
        <v>0.37459999999999999</v>
      </c>
      <c r="Q11">
        <f>VLOOKUP($D$11,QData!$A$1:$V$162,R$1,FALSE)</f>
        <v>0.33739999999999998</v>
      </c>
      <c r="R11">
        <f>VLOOKUP($D$11,QData!$A$1:$V$162,S$1,FALSE)</f>
        <v>0.35049999999999998</v>
      </c>
      <c r="S11">
        <f>VLOOKUP($D$11,QData!$A$1:$V$162,T$1,FALSE)</f>
        <v>0.3669</v>
      </c>
      <c r="T11">
        <f>VLOOKUP($D$11,QData!$A$1:$V$162,U$1,FALSE)</f>
        <v>0.3634</v>
      </c>
      <c r="U11">
        <f>VLOOKUP($D$11,QData!$A$1:$V$162,V$1,FALSE)</f>
        <v>0.35560000000000003</v>
      </c>
      <c r="V11">
        <f>VLOOKUP($D$11,QData!$A$1:$V$162,W$1,FALSE)</f>
        <v>0.33360000000000001</v>
      </c>
      <c r="W11">
        <f>VLOOKUP($D$11,QData!$A$1:$V$162,X$1,FALSE)</f>
        <v>0.35820000000000002</v>
      </c>
      <c r="X11">
        <f>VLOOKUP($D$11,QData!$A$1:$V$162,Y$1,FALSE)</f>
        <v>0.33839999999999998</v>
      </c>
      <c r="Y11" s="6"/>
      <c r="Z11" s="6"/>
      <c r="AA11" s="6"/>
      <c r="AB11" s="6"/>
    </row>
    <row r="12" spans="1:28" x14ac:dyDescent="0.2">
      <c r="A12" s="6"/>
      <c r="B12" s="28"/>
      <c r="C12" s="28"/>
      <c r="D12" s="27" t="s">
        <v>38</v>
      </c>
      <c r="E12">
        <f>VLOOKUP($D$12,QData!$A$1:$V$162,F$1,FALSE)</f>
        <v>-1.09E-2</v>
      </c>
      <c r="F12">
        <f>VLOOKUP($D$12,QData!$A$1:$V$162,G$1,FALSE)</f>
        <v>1.6899999999999998E-2</v>
      </c>
      <c r="G12">
        <f>VLOOKUP($D$12,QData!$A$1:$V$162,H$1,FALSE)</f>
        <v>-6.2100000000000002E-2</v>
      </c>
      <c r="H12">
        <f>VLOOKUP($D$12,QData!$A$1:$V$162,I$1,FALSE)</f>
        <v>3.5999999999999997E-2</v>
      </c>
      <c r="I12">
        <f>VLOOKUP($D$12,QData!$A$1:$V$162,J$1,FALSE)</f>
        <v>4.4499999999999998E-2</v>
      </c>
      <c r="J12">
        <f>VLOOKUP($D$12,QData!$A$1:$V$162,K$1,FALSE)</f>
        <v>3.8300000000000001E-2</v>
      </c>
      <c r="K12">
        <f>VLOOKUP($D$12,QData!$A$1:$V$162,L$1,FALSE)</f>
        <v>6.1199999999999997E-2</v>
      </c>
      <c r="L12">
        <f>VLOOKUP($D$12,QData!$A$1:$V$162,M$1,FALSE)</f>
        <v>3.9399999999999998E-2</v>
      </c>
      <c r="M12">
        <f>VLOOKUP($D$12,QData!$A$1:$V$162,N$1,FALSE)</f>
        <v>5.4699999999999999E-2</v>
      </c>
      <c r="N12">
        <f>VLOOKUP($D$12,QData!$A$1:$V$162,O$1,FALSE)</f>
        <v>5.2200000000000003E-2</v>
      </c>
      <c r="O12">
        <f>VLOOKUP($D$12,QData!$A$1:$V$162,P$1,FALSE)</f>
        <v>6.0900000000000003E-2</v>
      </c>
      <c r="P12">
        <f>VLOOKUP($D$12,QData!$A$1:$V$162,Q$1,FALSE)</f>
        <v>3.8100000000000002E-2</v>
      </c>
      <c r="Q12">
        <f>VLOOKUP($D$12,QData!$A$1:$V$162,R$1,FALSE)</f>
        <v>4.6699999999999998E-2</v>
      </c>
      <c r="R12">
        <f>VLOOKUP($D$12,QData!$A$1:$V$162,S$1,FALSE)</f>
        <v>4.58E-2</v>
      </c>
      <c r="S12">
        <f>VLOOKUP($D$12,QData!$A$1:$V$162,T$1,FALSE)</f>
        <v>6.8000000000000005E-2</v>
      </c>
      <c r="T12">
        <f>VLOOKUP($D$12,QData!$A$1:$V$162,U$1,FALSE)</f>
        <v>-3.4000000000000002E-2</v>
      </c>
      <c r="U12">
        <f>VLOOKUP($D$12,QData!$A$1:$V$162,V$1,FALSE)</f>
        <v>5.1499999999999997E-2</v>
      </c>
      <c r="V12">
        <f>VLOOKUP($D$12,QData!$A$1:$V$162,W$1,FALSE)</f>
        <v>3.9600000000000003E-2</v>
      </c>
      <c r="W12">
        <f>VLOOKUP($D$12,QData!$A$1:$V$162,X$1,FALSE)</f>
        <v>-2.5999999999999999E-2</v>
      </c>
      <c r="X12">
        <f>VLOOKUP($D$12,QData!$A$1:$V$162,Y$1,FALSE)</f>
        <v>-2.1399999999999999E-2</v>
      </c>
      <c r="Y12" s="6"/>
      <c r="Z12" s="6"/>
      <c r="AA12" s="6"/>
      <c r="AB12" s="6"/>
    </row>
    <row r="13" spans="1:28" x14ac:dyDescent="0.2">
      <c r="A13" s="6"/>
      <c r="B13" s="28"/>
      <c r="C13" s="28"/>
      <c r="D13" s="27" t="s">
        <v>37</v>
      </c>
      <c r="E13">
        <f>VLOOKUP($D$13,QData!$A$1:$V$162,F$1,FALSE)</f>
        <v>3.6700000000000003E-2</v>
      </c>
      <c r="F13">
        <f>VLOOKUP($D$13,QData!$A$1:$V$162,G$1,FALSE)</f>
        <v>0.10929999999999999</v>
      </c>
      <c r="G13">
        <f>VLOOKUP($D$13,QData!$A$1:$V$162,H$1,FALSE)</f>
        <v>-5.4399999999999997E-2</v>
      </c>
      <c r="H13">
        <f>VLOOKUP($D$13,QData!$A$1:$V$162,I$1,FALSE)</f>
        <v>8.4699999999999998E-2</v>
      </c>
      <c r="I13">
        <f>VLOOKUP($D$13,QData!$A$1:$V$162,J$1,FALSE)</f>
        <v>0.1008</v>
      </c>
      <c r="J13">
        <f>VLOOKUP($D$13,QData!$A$1:$V$162,K$1,FALSE)</f>
        <v>8.5699999999999998E-2</v>
      </c>
      <c r="K13">
        <f>VLOOKUP($D$13,QData!$A$1:$V$162,L$1,FALSE)</f>
        <v>0.1265</v>
      </c>
      <c r="L13">
        <f>VLOOKUP($D$13,QData!$A$1:$V$162,M$1,FALSE)</f>
        <v>0.10059999999999999</v>
      </c>
      <c r="M13">
        <f>VLOOKUP($D$13,QData!$A$1:$V$162,N$1,FALSE)</f>
        <v>0.1074</v>
      </c>
      <c r="N13">
        <f>VLOOKUP($D$13,QData!$A$1:$V$162,O$1,FALSE)</f>
        <v>9.1499999999999998E-2</v>
      </c>
      <c r="O13">
        <f>VLOOKUP($D$13,QData!$A$1:$V$162,P$1,FALSE)</f>
        <v>0.1167</v>
      </c>
      <c r="P13">
        <f>VLOOKUP($D$13,QData!$A$1:$V$162,Q$1,FALSE)</f>
        <v>0.1019</v>
      </c>
      <c r="Q13">
        <f>VLOOKUP($D$13,QData!$A$1:$V$162,R$1,FALSE)</f>
        <v>9.2899999999999996E-2</v>
      </c>
      <c r="R13">
        <f>VLOOKUP($D$13,QData!$A$1:$V$162,S$1,FALSE)</f>
        <v>7.6999999999999999E-2</v>
      </c>
      <c r="S13">
        <f>VLOOKUP($D$13,QData!$A$1:$V$162,T$1,FALSE)</f>
        <v>0.1145</v>
      </c>
      <c r="T13">
        <f>VLOOKUP($D$13,QData!$A$1:$V$162,U$1,FALSE)</f>
        <v>0.1091</v>
      </c>
      <c r="U13">
        <f>VLOOKUP($D$13,QData!$A$1:$V$162,V$1,FALSE)</f>
        <v>8.9700000000000002E-2</v>
      </c>
      <c r="V13">
        <f>VLOOKUP($D$13,QData!$A$1:$V$162,W$1,FALSE)</f>
        <v>6.1699999999999998E-2</v>
      </c>
      <c r="W13">
        <f>VLOOKUP($D$13,QData!$A$1:$V$162,X$1,FALSE)</f>
        <v>0.1</v>
      </c>
      <c r="X13">
        <f>VLOOKUP($D$13,QData!$A$1:$V$162,Y$1,FALSE)</f>
        <v>2.5399999999999999E-2</v>
      </c>
      <c r="Y13" s="6"/>
      <c r="Z13" s="6"/>
      <c r="AA13" s="6"/>
      <c r="AB13" s="6"/>
    </row>
    <row r="14" spans="1:28" x14ac:dyDescent="0.2">
      <c r="A14" s="6"/>
      <c r="B14" s="28"/>
      <c r="C14" s="28"/>
      <c r="D14" s="27" t="s">
        <v>15</v>
      </c>
      <c r="E14">
        <f>VLOOKUP($D$14,QData!$A$1:$V$162,F$1,FALSE)</f>
        <v>-407.18</v>
      </c>
      <c r="F14">
        <f>VLOOKUP($D$14,QData!$A$1:$V$162,G$1,FALSE)</f>
        <v>-503.95</v>
      </c>
      <c r="G14">
        <f>VLOOKUP($D$14,QData!$A$1:$V$162,H$1,FALSE)</f>
        <v>-510.61</v>
      </c>
      <c r="H14">
        <f>VLOOKUP($D$14,QData!$A$1:$V$162,I$1,FALSE)</f>
        <v>-500.52</v>
      </c>
      <c r="I14">
        <f>VLOOKUP($D$14,QData!$A$1:$V$162,J$1,FALSE)</f>
        <v>-469.09</v>
      </c>
      <c r="J14">
        <f>VLOOKUP($D$14,QData!$A$1:$V$162,K$1,FALSE)</f>
        <v>-501.44</v>
      </c>
      <c r="K14">
        <f>VLOOKUP($D$14,QData!$A$1:$V$162,L$1,FALSE)</f>
        <v>-501.51</v>
      </c>
      <c r="L14">
        <f>VLOOKUP($D$14,QData!$A$1:$V$162,M$1,FALSE)</f>
        <v>-515.39</v>
      </c>
      <c r="M14">
        <f>VLOOKUP($D$14,QData!$A$1:$V$162,N$1,FALSE)</f>
        <v>-377.16</v>
      </c>
      <c r="N14">
        <f>VLOOKUP($D$14,QData!$A$1:$V$162,O$1,FALSE)</f>
        <v>-417.45</v>
      </c>
      <c r="O14">
        <f>VLOOKUP($D$14,QData!$A$1:$V$162,P$1,FALSE)</f>
        <v>-415.46</v>
      </c>
      <c r="P14">
        <f>VLOOKUP($D$14,QData!$A$1:$V$162,Q$1,FALSE)</f>
        <v>-433.58</v>
      </c>
      <c r="Q14">
        <f>VLOOKUP($D$14,QData!$A$1:$V$162,R$1,FALSE)</f>
        <v>-426.83</v>
      </c>
      <c r="R14">
        <f>VLOOKUP($D$14,QData!$A$1:$V$162,S$1,FALSE)</f>
        <v>-448.67</v>
      </c>
      <c r="S14">
        <f>VLOOKUP($D$14,QData!$A$1:$V$162,T$1,FALSE)</f>
        <v>-386.78</v>
      </c>
      <c r="T14">
        <f>VLOOKUP($D$14,QData!$A$1:$V$162,U$1,FALSE)</f>
        <v>-412.31</v>
      </c>
      <c r="U14">
        <f>VLOOKUP($D$14,QData!$A$1:$V$162,V$1,FALSE)</f>
        <v>-89.81</v>
      </c>
      <c r="V14">
        <f>VLOOKUP($D$14,QData!$A$1:$V$162,W$1,FALSE)</f>
        <v>-114.98</v>
      </c>
      <c r="W14">
        <f>VLOOKUP($D$14,QData!$A$1:$V$162,X$1,FALSE)</f>
        <v>-135.05000000000001</v>
      </c>
      <c r="X14">
        <f>VLOOKUP($D$14,QData!$A$1:$V$162,Y$1,FALSE)</f>
        <v>-164.6</v>
      </c>
      <c r="Y14" s="6"/>
      <c r="Z14" s="6"/>
      <c r="AA14" s="6"/>
      <c r="AB14" s="6"/>
    </row>
    <row r="15" spans="1:28" x14ac:dyDescent="0.2">
      <c r="A15" s="6"/>
      <c r="B15" s="6"/>
      <c r="C15" s="6"/>
      <c r="D15" s="27" t="s">
        <v>14</v>
      </c>
      <c r="E15">
        <f>VLOOKUP($D$15,QData!$A$1:$V$162,F$1,FALSE)</f>
        <v>882.1</v>
      </c>
      <c r="F15">
        <f>VLOOKUP($D$15,QData!$A$1:$V$162,G$1,FALSE)</f>
        <v>871.58</v>
      </c>
      <c r="G15">
        <f>VLOOKUP($D$15,QData!$A$1:$V$162,H$1,FALSE)</f>
        <v>896.13</v>
      </c>
      <c r="H15">
        <f>VLOOKUP($D$15,QData!$A$1:$V$162,I$1,FALSE)</f>
        <v>885.81</v>
      </c>
      <c r="I15">
        <f>VLOOKUP($D$15,QData!$A$1:$V$162,J$1,FALSE)</f>
        <v>882.06</v>
      </c>
      <c r="J15">
        <f>VLOOKUP($D$15,QData!$A$1:$V$162,K$1,FALSE)</f>
        <v>878.44</v>
      </c>
      <c r="K15">
        <f>VLOOKUP($D$15,QData!$A$1:$V$162,L$1,FALSE)</f>
        <v>854</v>
      </c>
      <c r="L15">
        <f>VLOOKUP($D$15,QData!$A$1:$V$162,M$1,FALSE)</f>
        <v>846.96</v>
      </c>
      <c r="M15">
        <f>VLOOKUP($D$15,QData!$A$1:$V$162,N$1,FALSE)</f>
        <v>833.8</v>
      </c>
      <c r="N15">
        <f>VLOOKUP($D$15,QData!$A$1:$V$162,O$1,FALSE)</f>
        <v>810.88</v>
      </c>
      <c r="O15">
        <f>VLOOKUP($D$15,QData!$A$1:$V$162,P$1,FALSE)</f>
        <v>784.38</v>
      </c>
      <c r="P15">
        <f>VLOOKUP($D$15,QData!$A$1:$V$162,Q$1,FALSE)</f>
        <v>775.18</v>
      </c>
      <c r="Q15">
        <f>VLOOKUP($D$15,QData!$A$1:$V$162,R$1,FALSE)</f>
        <v>772.8</v>
      </c>
      <c r="R15">
        <f>VLOOKUP($D$15,QData!$A$1:$V$162,S$1,FALSE)</f>
        <v>745.64</v>
      </c>
      <c r="S15">
        <f>VLOOKUP($D$15,QData!$A$1:$V$162,T$1,FALSE)</f>
        <v>735.16</v>
      </c>
      <c r="T15">
        <f>VLOOKUP($D$15,QData!$A$1:$V$162,U$1,FALSE)</f>
        <v>724.45</v>
      </c>
      <c r="U15">
        <f>VLOOKUP($D$15,QData!$A$1:$V$162,V$1,FALSE)</f>
        <v>530.15</v>
      </c>
      <c r="V15">
        <f>VLOOKUP($D$15,QData!$A$1:$V$162,W$1,FALSE)</f>
        <v>497.32</v>
      </c>
      <c r="W15">
        <f>VLOOKUP($D$15,QData!$A$1:$V$162,X$1,FALSE)</f>
        <v>479.96</v>
      </c>
      <c r="X15">
        <f>VLOOKUP($D$15,QData!$A$1:$V$162,Y$1,FALSE)</f>
        <v>466.6</v>
      </c>
      <c r="Y15" s="6"/>
      <c r="Z15" s="6"/>
      <c r="AA15" s="6"/>
      <c r="AB15" s="6"/>
    </row>
    <row r="16" spans="1:28" x14ac:dyDescent="0.2">
      <c r="A16" s="6"/>
      <c r="B16" s="6"/>
      <c r="C16" s="6"/>
      <c r="D16" s="27" t="s">
        <v>9</v>
      </c>
      <c r="E16">
        <f>VLOOKUP($D$16,QData!$A$166:$V$201,F$1,FALSE)</f>
        <v>830</v>
      </c>
      <c r="F16">
        <f>VLOOKUP($D$16,QData!$A$166:$V$201,G$1,FALSE)</f>
        <v>988</v>
      </c>
      <c r="G16">
        <f>VLOOKUP($D$16,QData!$A$166:$V$201,H$1,FALSE)</f>
        <v>1579</v>
      </c>
      <c r="H16">
        <f>VLOOKUP($D$16,QData!$A$166:$V$201,I$1,FALSE)</f>
        <v>1539</v>
      </c>
      <c r="I16">
        <f>VLOOKUP($D$16,QData!$A$166:$V$201,J$1,FALSE)</f>
        <v>1465</v>
      </c>
      <c r="J16">
        <f>VLOOKUP($D$16,QData!$A$166:$V$201,K$1,FALSE)</f>
        <v>1783</v>
      </c>
      <c r="K16">
        <f>VLOOKUP($D$16,QData!$A$166:$V$201,L$1,FALSE)</f>
        <v>1622</v>
      </c>
      <c r="L16">
        <f>VLOOKUP($D$16,QData!$A$166:$V$201,M$1,FALSE)</f>
        <v>1517</v>
      </c>
      <c r="M16">
        <f>VLOOKUP($D$16,QData!$A$166:$V$201,N$1,FALSE)</f>
        <v>1544</v>
      </c>
      <c r="N16">
        <f>VLOOKUP($D$16,QData!$A$166:$V$201,O$1,FALSE)</f>
        <v>1479</v>
      </c>
      <c r="O16">
        <f>VLOOKUP($D$16,QData!$A$166:$V$201,P$1,FALSE)</f>
        <v>1345</v>
      </c>
      <c r="P16">
        <f>VLOOKUP($D$16,QData!$A$166:$V$201,Q$1,FALSE)</f>
        <v>1182</v>
      </c>
      <c r="Q16">
        <f>VLOOKUP($D$16,QData!$A$166:$V$201,R$1,FALSE)</f>
        <v>1237</v>
      </c>
      <c r="R16">
        <f>VLOOKUP($D$16,QData!$A$166:$V$201,S$1,FALSE)</f>
        <v>1657</v>
      </c>
      <c r="S16">
        <f>VLOOKUP($D$16,QData!$A$166:$V$201,T$1,FALSE)</f>
        <v>1702</v>
      </c>
      <c r="T16">
        <f>VLOOKUP($D$16,QData!$A$166:$V$201,U$1,FALSE)</f>
        <v>1785</v>
      </c>
      <c r="U16">
        <f>VLOOKUP($D$16,QData!$A$166:$V$201,V$1,FALSE)</f>
        <v>1457</v>
      </c>
      <c r="V16">
        <f>VLOOKUP($D$16,QData!$A$166:$V$201,W$1,FALSE)</f>
        <v>1380</v>
      </c>
      <c r="W16">
        <f>VLOOKUP($D$16,QData!$A$166:$V$201,X$1,FALSE)</f>
        <v>1054</v>
      </c>
      <c r="X16">
        <f>VLOOKUP($D$16,QData!$A$166:$V$201,Y$1,FALSE)</f>
        <v>955</v>
      </c>
      <c r="Y16" s="6"/>
      <c r="Z16" s="6"/>
      <c r="AA16" s="6"/>
      <c r="AB16" s="6"/>
    </row>
    <row r="17" spans="1:28" ht="19" x14ac:dyDescent="0.25">
      <c r="A17" s="6"/>
      <c r="B17" s="6"/>
      <c r="C17" s="6"/>
      <c r="D17" s="7" t="s">
        <v>4</v>
      </c>
      <c r="E17" s="6"/>
      <c r="F17" s="6"/>
      <c r="G17" s="6"/>
      <c r="H17" s="6"/>
      <c r="I17" s="6"/>
      <c r="J17" s="6"/>
      <c r="K17" s="6"/>
      <c r="L17" s="6"/>
      <c r="M17" s="6"/>
      <c r="N17" s="6"/>
      <c r="O17" s="6"/>
      <c r="P17" s="6"/>
      <c r="Q17" s="6"/>
      <c r="R17" s="6"/>
      <c r="S17" s="6"/>
      <c r="T17" s="6"/>
      <c r="U17" s="6"/>
      <c r="V17" s="6"/>
      <c r="W17" s="6"/>
      <c r="X17" s="6"/>
      <c r="Y17" s="6"/>
      <c r="Z17" s="6"/>
      <c r="AA17" s="6"/>
      <c r="AB17" s="6"/>
    </row>
    <row r="18" spans="1:28" x14ac:dyDescent="0.2">
      <c r="A18" s="6"/>
      <c r="B18" s="6"/>
      <c r="C18" s="6"/>
      <c r="D18" t="s">
        <v>11</v>
      </c>
      <c r="E18">
        <f>VLOOKUP($D$18,QData!$A$1:$V$162,F$1,FALSE)</f>
        <v>53.68</v>
      </c>
      <c r="F18">
        <f>VLOOKUP($D$18,QData!$A$1:$V$162,G$1,FALSE)</f>
        <v>41.22</v>
      </c>
      <c r="G18">
        <f>VLOOKUP($D$18,QData!$A$1:$V$162,H$1,FALSE)</f>
        <v>55.68</v>
      </c>
      <c r="H18">
        <f>VLOOKUP($D$18,QData!$A$1:$V$162,I$1,FALSE)</f>
        <v>68.37</v>
      </c>
      <c r="I18">
        <f>VLOOKUP($D$18,QData!$A$1:$V$162,J$1,FALSE)</f>
        <v>114.13</v>
      </c>
      <c r="J18">
        <f>VLOOKUP($D$18,QData!$A$1:$V$162,K$1,FALSE)</f>
        <v>102.95</v>
      </c>
      <c r="K18">
        <f>VLOOKUP($D$18,QData!$A$1:$V$162,L$1,FALSE)</f>
        <v>99.06</v>
      </c>
      <c r="L18">
        <f>VLOOKUP($D$18,QData!$A$1:$V$162,M$1,FALSE)</f>
        <v>106.99</v>
      </c>
      <c r="M18">
        <f>VLOOKUP($D$18,QData!$A$1:$V$162,N$1,FALSE)</f>
        <v>133.18</v>
      </c>
      <c r="N18">
        <f>VLOOKUP($D$18,QData!$A$1:$V$162,O$1,FALSE)</f>
        <v>81.52</v>
      </c>
      <c r="O18">
        <f>VLOOKUP($D$18,QData!$A$1:$V$162,P$1,FALSE)</f>
        <v>88.87</v>
      </c>
      <c r="P18">
        <f>VLOOKUP($D$18,QData!$A$1:$V$162,Q$1,FALSE)</f>
        <v>85.66</v>
      </c>
      <c r="Q18">
        <f>VLOOKUP($D$18,QData!$A$1:$V$162,R$1,FALSE)</f>
        <v>115.39</v>
      </c>
      <c r="R18">
        <f>VLOOKUP($D$18,QData!$A$1:$V$162,S$1,FALSE)</f>
        <v>106.7</v>
      </c>
      <c r="S18">
        <f>VLOOKUP($D$18,QData!$A$1:$V$162,T$1,FALSE)</f>
        <v>105.31</v>
      </c>
      <c r="T18">
        <f>VLOOKUP($D$18,QData!$A$1:$V$162,U$1,FALSE)</f>
        <v>88.65</v>
      </c>
      <c r="U18">
        <f>VLOOKUP($D$18,QData!$A$1:$V$162,V$1,FALSE)</f>
        <v>202.13</v>
      </c>
      <c r="V18">
        <f>VLOOKUP($D$18,QData!$A$1:$V$162,W$1,FALSE)</f>
        <v>187.63</v>
      </c>
      <c r="W18">
        <f>VLOOKUP($D$18,QData!$A$1:$V$162,X$1,FALSE)</f>
        <v>186.56</v>
      </c>
      <c r="X18">
        <f>VLOOKUP($D$18,QData!$A$1:$V$162,Y$1,FALSE)</f>
        <v>152.24</v>
      </c>
      <c r="Y18" s="6"/>
      <c r="Z18" s="6"/>
      <c r="AA18" s="6"/>
      <c r="AB18" s="6"/>
    </row>
    <row r="19" spans="1:28" x14ac:dyDescent="0.2">
      <c r="A19" s="6"/>
      <c r="B19" s="6"/>
      <c r="C19" s="6"/>
      <c r="D19" s="9" t="s">
        <v>7</v>
      </c>
      <c r="E19">
        <f>VLOOKUP($D$19,QData!$A$1:$V$162,F$1,FALSE)</f>
        <v>470.98</v>
      </c>
      <c r="F19">
        <f>VLOOKUP($D$19,QData!$A$1:$V$162,G$1,FALSE)</f>
        <v>557.13</v>
      </c>
      <c r="G19">
        <f>VLOOKUP($D$19,QData!$A$1:$V$162,H$1,FALSE)</f>
        <v>579.36</v>
      </c>
      <c r="H19">
        <f>VLOOKUP($D$19,QData!$A$1:$V$162,I$1,FALSE)</f>
        <v>585.54999999999995</v>
      </c>
      <c r="I19">
        <f>VLOOKUP($D$19,QData!$A$1:$V$162,J$1,FALSE)</f>
        <v>602.16999999999996</v>
      </c>
      <c r="J19">
        <f>VLOOKUP($D$19,QData!$A$1:$V$162,K$1,FALSE)</f>
        <v>624.27</v>
      </c>
      <c r="K19">
        <f>VLOOKUP($D$19,QData!$A$1:$V$162,L$1,FALSE)</f>
        <v>620.83000000000004</v>
      </c>
      <c r="L19">
        <f>VLOOKUP($D$19,QData!$A$1:$V$162,M$1,FALSE)</f>
        <v>642.27</v>
      </c>
      <c r="M19">
        <f>VLOOKUP($D$19,QData!$A$1:$V$162,N$1,FALSE)</f>
        <v>528.35</v>
      </c>
      <c r="N19">
        <f>VLOOKUP($D$19,QData!$A$1:$V$162,O$1,FALSE)</f>
        <v>517.45000000000005</v>
      </c>
      <c r="O19">
        <f>VLOOKUP($D$19,QData!$A$1:$V$162,P$1,FALSE)</f>
        <v>521.49</v>
      </c>
      <c r="P19">
        <f>VLOOKUP($D$19,QData!$A$1:$V$162,Q$1,FALSE)</f>
        <v>533.49</v>
      </c>
      <c r="Q19">
        <f>VLOOKUP($D$19,QData!$A$1:$V$162,R$1,FALSE)</f>
        <v>553.37</v>
      </c>
      <c r="R19">
        <f>VLOOKUP($D$19,QData!$A$1:$V$162,S$1,FALSE)</f>
        <v>566.52</v>
      </c>
      <c r="S19">
        <f>VLOOKUP($D$19,QData!$A$1:$V$162,T$1,FALSE)</f>
        <v>502.16</v>
      </c>
      <c r="T19">
        <f>VLOOKUP($D$19,QData!$A$1:$V$162,U$1,FALSE)</f>
        <v>511.03</v>
      </c>
      <c r="U19">
        <f>VLOOKUP($D$19,QData!$A$1:$V$162,V$1,FALSE)</f>
        <v>299.89999999999998</v>
      </c>
      <c r="V19">
        <f>VLOOKUP($D$19,QData!$A$1:$V$162,W$1,FALSE)</f>
        <v>310.52999999999997</v>
      </c>
      <c r="W19">
        <f>VLOOKUP($D$19,QData!$A$1:$V$162,X$1,FALSE)</f>
        <v>330.14</v>
      </c>
      <c r="X19">
        <f>VLOOKUP($D$19,QData!$A$1:$V$162,Y$1,FALSE)</f>
        <v>324.35000000000002</v>
      </c>
      <c r="Y19" s="6"/>
      <c r="Z19" s="6"/>
      <c r="AA19" s="6"/>
      <c r="AB19" s="6"/>
    </row>
    <row r="20" spans="1:28" x14ac:dyDescent="0.2">
      <c r="A20" s="22"/>
      <c r="B20" s="22"/>
      <c r="C20" s="22"/>
      <c r="D20" s="9" t="s">
        <v>16</v>
      </c>
      <c r="E20">
        <f>VLOOKUP($D$20,QData!$A$1:$V$162,F$1,FALSE)</f>
        <v>30.83</v>
      </c>
      <c r="F20">
        <f>VLOOKUP($D$20,QData!$A$1:$V$162,G$1,FALSE)</f>
        <v>30.81</v>
      </c>
      <c r="G20">
        <f>VLOOKUP($D$20,QData!$A$1:$V$162,H$1,FALSE)</f>
        <v>31.36</v>
      </c>
      <c r="H20">
        <f>VLOOKUP($D$20,QData!$A$1:$V$162,I$1,FALSE)</f>
        <v>30.72</v>
      </c>
      <c r="I20">
        <f>VLOOKUP($D$20,QData!$A$1:$V$162,J$1,FALSE)</f>
        <v>30.66</v>
      </c>
      <c r="J20">
        <f>VLOOKUP($D$20,QData!$A$1:$V$162,K$1,FALSE)</f>
        <v>30.58</v>
      </c>
      <c r="K20">
        <f>VLOOKUP($D$20,QData!$A$1:$V$162,L$1,FALSE)</f>
        <v>29.75</v>
      </c>
      <c r="L20">
        <f>VLOOKUP($D$20,QData!$A$1:$V$162,M$1,FALSE)</f>
        <v>29.53</v>
      </c>
      <c r="M20">
        <f>VLOOKUP($D$20,QData!$A$1:$V$162,N$1,FALSE)</f>
        <v>29.17</v>
      </c>
      <c r="N20">
        <f>VLOOKUP($D$20,QData!$A$1:$V$162,O$1,FALSE)</f>
        <v>28.38</v>
      </c>
      <c r="O20">
        <f>VLOOKUP($D$20,QData!$A$1:$V$162,P$1,FALSE)</f>
        <v>27.4</v>
      </c>
      <c r="P20">
        <f>VLOOKUP($D$20,QData!$A$1:$V$162,Q$1,FALSE)</f>
        <v>27.12</v>
      </c>
      <c r="Q20">
        <f>VLOOKUP($D$20,QData!$A$1:$V$162,R$1,FALSE)</f>
        <v>27.1</v>
      </c>
      <c r="R20">
        <f>VLOOKUP($D$20,QData!$A$1:$V$162,S$1,FALSE)</f>
        <v>26.17</v>
      </c>
      <c r="S20">
        <f>VLOOKUP($D$20,QData!$A$1:$V$162,T$1,FALSE)</f>
        <v>25.85</v>
      </c>
      <c r="T20">
        <f>VLOOKUP($D$20,QData!$A$1:$V$162,U$1,FALSE)</f>
        <v>25.54</v>
      </c>
      <c r="U20">
        <f>VLOOKUP($D$20,QData!$A$1:$V$162,V$1,FALSE)</f>
        <v>22.1</v>
      </c>
      <c r="V20">
        <f>VLOOKUP($D$20,QData!$A$1:$V$162,W$1,FALSE)</f>
        <v>20.75</v>
      </c>
      <c r="W20">
        <f>VLOOKUP($D$20,QData!$A$1:$V$162,X$1,FALSE)</f>
        <v>20.079999999999998</v>
      </c>
      <c r="X20">
        <f>VLOOKUP($D$20,QData!$A$1:$V$162,Y$1,FALSE)</f>
        <v>19.559999999999999</v>
      </c>
      <c r="Y20" s="6"/>
      <c r="Z20" s="6"/>
      <c r="AA20" s="6"/>
      <c r="AB20" s="6"/>
    </row>
    <row r="21" spans="1:28" x14ac:dyDescent="0.2">
      <c r="A21" s="6"/>
      <c r="B21" s="6"/>
      <c r="C21" s="6"/>
      <c r="D21" s="9" t="s">
        <v>13</v>
      </c>
      <c r="E21">
        <f>VLOOKUP($D$21,QData!$A$1:$V$162,F$1,FALSE)</f>
        <v>382.16</v>
      </c>
      <c r="F21">
        <f>VLOOKUP($D$21,QData!$A$1:$V$162,G$1,FALSE)</f>
        <v>388.85</v>
      </c>
      <c r="G21">
        <f>VLOOKUP($D$21,QData!$A$1:$V$162,H$1,FALSE)</f>
        <v>386.89</v>
      </c>
      <c r="H21">
        <f>VLOOKUP($D$21,QData!$A$1:$V$162,I$1,FALSE)</f>
        <v>403.96</v>
      </c>
      <c r="I21">
        <f>VLOOKUP($D$21,QData!$A$1:$V$162,J$1,FALSE)</f>
        <v>395.33</v>
      </c>
      <c r="J21">
        <f>VLOOKUP($D$21,QData!$A$1:$V$162,K$1,FALSE)</f>
        <v>387.55</v>
      </c>
      <c r="K21">
        <f>VLOOKUP($D$21,QData!$A$1:$V$162,L$1,FALSE)</f>
        <v>379.83</v>
      </c>
      <c r="L21">
        <f>VLOOKUP($D$21,QData!$A$1:$V$162,M$1,FALSE)</f>
        <v>366.03</v>
      </c>
      <c r="M21">
        <f>VLOOKUP($D$21,QData!$A$1:$V$162,N$1,FALSE)</f>
        <v>356.76</v>
      </c>
      <c r="N21">
        <f>VLOOKUP($D$21,QData!$A$1:$V$162,O$1,FALSE)</f>
        <v>346.87</v>
      </c>
      <c r="O21">
        <f>VLOOKUP($D$21,QData!$A$1:$V$162,P$1,FALSE)</f>
        <v>336.84</v>
      </c>
      <c r="P21">
        <f>VLOOKUP($D$21,QData!$A$1:$V$162,Q$1,FALSE)</f>
        <v>324.73</v>
      </c>
      <c r="Q21">
        <f>VLOOKUP($D$21,QData!$A$1:$V$162,R$1,FALSE)</f>
        <v>316.33999999999997</v>
      </c>
      <c r="R21">
        <f>VLOOKUP($D$21,QData!$A$1:$V$162,S$1,FALSE)</f>
        <v>308.22000000000003</v>
      </c>
      <c r="S21">
        <f>VLOOKUP($D$21,QData!$A$1:$V$162,T$1,FALSE)</f>
        <v>300.04000000000002</v>
      </c>
      <c r="T21">
        <f>VLOOKUP($D$21,QData!$A$1:$V$162,U$1,FALSE)</f>
        <v>286.54000000000002</v>
      </c>
      <c r="U21">
        <f>VLOOKUP($D$21,QData!$A$1:$V$162,V$1,FALSE)</f>
        <v>293.8</v>
      </c>
      <c r="V21">
        <f>VLOOKUP($D$21,QData!$A$1:$V$162,W$1,FALSE)</f>
        <v>287.10000000000002</v>
      </c>
      <c r="W21">
        <f>VLOOKUP($D$21,QData!$A$1:$V$162,X$1,FALSE)</f>
        <v>281.94</v>
      </c>
      <c r="X21">
        <f>VLOOKUP($D$21,QData!$A$1:$V$162,Y$1,FALSE)</f>
        <v>287.47000000000003</v>
      </c>
      <c r="Y21" s="6"/>
      <c r="Z21" s="6"/>
      <c r="AA21" s="6"/>
      <c r="AB21" s="6"/>
    </row>
    <row r="22" spans="1:28" s="3" customFormat="1" x14ac:dyDescent="0.2">
      <c r="A22" s="6"/>
      <c r="B22" s="6"/>
      <c r="C22" s="6"/>
      <c r="D22" t="s">
        <v>6</v>
      </c>
      <c r="E22">
        <f>VLOOKUP($D22,QData!$A$1:$V$162,F$1,FALSE)</f>
        <v>29.47</v>
      </c>
      <c r="F22">
        <f>VLOOKUP($D22,QData!$A$1:$V$162,G$1,FALSE)</f>
        <v>6.17</v>
      </c>
      <c r="G22">
        <f>VLOOKUP($D22,QData!$A$1:$V$162,H$1,FALSE)</f>
        <v>3.95</v>
      </c>
      <c r="H22">
        <f>VLOOKUP($D22,QData!$A$1:$V$162,I$1,FALSE)</f>
        <v>-15.39</v>
      </c>
      <c r="I22">
        <f>VLOOKUP($D22,QData!$A$1:$V$162,J$1,FALSE)</f>
        <v>30.13</v>
      </c>
      <c r="J22">
        <f>VLOOKUP($D22,QData!$A$1:$V$162,K$1,FALSE)</f>
        <v>23.13</v>
      </c>
      <c r="K22">
        <f>VLOOKUP($D22,QData!$A$1:$V$162,L$1,FALSE)</f>
        <v>11.64</v>
      </c>
      <c r="L22">
        <f>VLOOKUP($D22,QData!$A$1:$V$162,M$1,FALSE)</f>
        <v>-22.52</v>
      </c>
      <c r="M22">
        <f>VLOOKUP($D22,QData!$A$1:$V$162,N$1,FALSE)</f>
        <v>63.61</v>
      </c>
      <c r="N22">
        <f>VLOOKUP($D22,QData!$A$1:$V$162,O$1,FALSE)</f>
        <v>6.53</v>
      </c>
      <c r="O22">
        <f>VLOOKUP($D22,QData!$A$1:$V$162,P$1,FALSE)</f>
        <v>14.99</v>
      </c>
      <c r="P22">
        <f>VLOOKUP($D22,QData!$A$1:$V$162,Q$1,FALSE)</f>
        <v>-14.13</v>
      </c>
      <c r="Q22">
        <f>VLOOKUP($D22,QData!$A$1:$V$162,R$1,FALSE)</f>
        <v>21.56</v>
      </c>
      <c r="R22">
        <f>VLOOKUP($D22,QData!$A$1:$V$162,S$1,FALSE)</f>
        <v>3.03</v>
      </c>
      <c r="S22">
        <f>VLOOKUP($D22,QData!$A$1:$V$162,T$1,FALSE)</f>
        <v>22.23</v>
      </c>
      <c r="T22">
        <f>VLOOKUP($D22,QData!$A$1:$V$162,U$1,FALSE)</f>
        <v>-11.04</v>
      </c>
      <c r="U22">
        <f>VLOOKUP($D22,QData!$A$1:$V$162,V$1,FALSE)</f>
        <v>20.55</v>
      </c>
      <c r="V22">
        <f>VLOOKUP($D22,QData!$A$1:$V$162,W$1,FALSE)</f>
        <v>21.88</v>
      </c>
      <c r="W22">
        <f>VLOOKUP($D22,QData!$A$1:$V$162,X$1,FALSE)</f>
        <v>35.74</v>
      </c>
      <c r="X22">
        <f>VLOOKUP($D22,QData!$A$1:$V$162,Y$1,FALSE)</f>
        <v>8.43</v>
      </c>
      <c r="Y22" s="22"/>
      <c r="Z22" s="22"/>
      <c r="AA22" s="22"/>
      <c r="AB22" s="22"/>
    </row>
    <row r="23" spans="1:28" ht="17" x14ac:dyDescent="0.2">
      <c r="A23" s="6"/>
      <c r="B23" s="6"/>
      <c r="C23" s="6"/>
      <c r="D23" s="2" t="s">
        <v>127</v>
      </c>
      <c r="E23">
        <f>VLOOKUP($D23,QData!$A$1:$V$162,F$1,FALSE)</f>
        <v>106.16</v>
      </c>
      <c r="F23">
        <f>VLOOKUP($D23,QData!$A$1:$V$162,G$1,FALSE)</f>
        <v>167.67</v>
      </c>
      <c r="G23">
        <f>VLOOKUP($D23,QData!$A$1:$V$162,H$1,FALSE)</f>
        <v>171.59</v>
      </c>
      <c r="H23">
        <f>VLOOKUP($D23,QData!$A$1:$V$162,I$1,FALSE)</f>
        <v>174.63</v>
      </c>
      <c r="I23">
        <f>VLOOKUP($D23,QData!$A$1:$V$162,J$1,FALSE)</f>
        <v>171.98</v>
      </c>
      <c r="J23">
        <f>VLOOKUP($D23,QData!$A$1:$V$162,K$1,FALSE)</f>
        <v>168.15</v>
      </c>
      <c r="K23">
        <f>VLOOKUP($D23,QData!$A$1:$V$162,L$1,FALSE)</f>
        <v>152.85</v>
      </c>
      <c r="L23">
        <f>VLOOKUP($D23,QData!$A$1:$V$162,M$1,FALSE)</f>
        <v>154.53</v>
      </c>
      <c r="M23">
        <f>VLOOKUP($D23,QData!$A$1:$V$162,N$1,FALSE)</f>
        <v>147.91</v>
      </c>
      <c r="N23">
        <f>VLOOKUP($D23,QData!$A$1:$V$162,O$1,FALSE)</f>
        <v>127.06</v>
      </c>
      <c r="O23">
        <f>VLOOKUP($D23,QData!$A$1:$V$162,P$1,FALSE)</f>
        <v>121.05</v>
      </c>
      <c r="P23">
        <f>VLOOKUP($D23,QData!$A$1:$V$162,Q$1,FALSE)</f>
        <v>123.85</v>
      </c>
      <c r="Q23">
        <f>VLOOKUP($D23,QData!$A$1:$V$162,R$1,FALSE)</f>
        <v>128.74</v>
      </c>
      <c r="R23">
        <f>VLOOKUP($D23,QData!$A$1:$V$162,S$1,FALSE)</f>
        <v>129.4</v>
      </c>
      <c r="S23">
        <f>VLOOKUP($D23,QData!$A$1:$V$162,T$1,FALSE)</f>
        <v>128.55000000000001</v>
      </c>
      <c r="T23">
        <f>VLOOKUP($D23,QData!$A$1:$V$162,U$1,FALSE)</f>
        <v>133.38</v>
      </c>
      <c r="U23">
        <f>VLOOKUP($D23,QData!$A$1:$V$162,V$1,FALSE)</f>
        <v>108.93</v>
      </c>
      <c r="V23">
        <f>VLOOKUP($D23,QData!$A$1:$V$162,W$1,FALSE)</f>
        <v>108.61</v>
      </c>
      <c r="W23">
        <f>VLOOKUP($D23,QData!$A$1:$V$162,X$1,FALSE)</f>
        <v>109.94</v>
      </c>
      <c r="X23">
        <f>VLOOKUP($D23,QData!$A$1:$V$162,Y$1,FALSE)</f>
        <v>113.75</v>
      </c>
      <c r="Y23" s="6"/>
      <c r="Z23" s="6"/>
      <c r="AA23" s="6"/>
      <c r="AB23" s="6"/>
    </row>
    <row r="24" spans="1:28" ht="19" x14ac:dyDescent="0.25">
      <c r="A24" s="6"/>
      <c r="B24" s="6"/>
      <c r="C24" s="6"/>
      <c r="D24" s="7" t="s">
        <v>41</v>
      </c>
      <c r="E24" s="6"/>
      <c r="F24" s="6"/>
      <c r="G24" s="6"/>
      <c r="H24" s="6"/>
      <c r="I24" s="6"/>
      <c r="J24" s="6"/>
      <c r="K24" s="6"/>
      <c r="L24" s="6"/>
      <c r="M24" s="6"/>
      <c r="N24" s="6"/>
      <c r="O24" s="6"/>
      <c r="P24" s="6"/>
      <c r="Q24" s="6"/>
      <c r="R24" s="6"/>
      <c r="S24" s="6"/>
      <c r="T24" s="6"/>
      <c r="U24" s="6"/>
      <c r="V24" s="6"/>
      <c r="W24" s="6"/>
      <c r="X24" s="6"/>
      <c r="Y24" s="6"/>
      <c r="Z24" s="6"/>
      <c r="AA24" s="6"/>
      <c r="AB24" s="6"/>
    </row>
    <row r="25" spans="1:28" x14ac:dyDescent="0.2">
      <c r="A25" s="6"/>
      <c r="B25" s="6"/>
      <c r="C25" s="6"/>
      <c r="D25" t="s">
        <v>28</v>
      </c>
      <c r="E25">
        <f>VLOOKUP($D25,QData!$A$1:$W$202,F$1,FALSE)</f>
        <v>1.6299999999999999E-2</v>
      </c>
      <c r="F25">
        <f>VLOOKUP($D25,QData!$A$1:$W$202,G$1,FALSE)</f>
        <v>4.41E-2</v>
      </c>
      <c r="G25">
        <f>VLOOKUP($D25,QData!$A$1:$W$202,H$1,FALSE)</f>
        <v>-2.24E-2</v>
      </c>
      <c r="H25">
        <f>VLOOKUP($D25,QData!$A$1:$W$202,I$1,FALSE)</f>
        <v>3.44E-2</v>
      </c>
      <c r="I25">
        <f>VLOOKUP($D25,QData!$A$1:$W$202,J$1,FALSE)</f>
        <v>4.48E-2</v>
      </c>
      <c r="J25">
        <f>VLOOKUP($D25,QData!$A$1:$W$202,K$1,FALSE)</f>
        <v>3.6600000000000001E-2</v>
      </c>
      <c r="K25">
        <f>VLOOKUP($D25,QData!$A$1:$W$202,L$1,FALSE)</f>
        <v>5.5100000000000003E-2</v>
      </c>
      <c r="L25">
        <f>VLOOKUP($D25,QData!$A$1:$W$202,M$1,FALSE)</f>
        <v>4.1500000000000002E-2</v>
      </c>
      <c r="M25">
        <f>VLOOKUP($D25,QData!$A$1:$W$202,N$1,FALSE)</f>
        <v>5.0599999999999999E-2</v>
      </c>
      <c r="N25">
        <f>VLOOKUP($D25,QData!$A$1:$W$202,O$1,FALSE)</f>
        <v>0.04</v>
      </c>
      <c r="O25">
        <f>VLOOKUP($D25,QData!$A$1:$W$202,P$1,FALSE)</f>
        <v>5.1700000000000003E-2</v>
      </c>
      <c r="P25">
        <f>VLOOKUP($D25,QData!$A$1:$W$202,Q$1,FALSE)</f>
        <v>4.2599999999999999E-2</v>
      </c>
      <c r="Q25">
        <f>VLOOKUP($D25,QData!$A$1:$W$202,R$1,FALSE)</f>
        <v>4.4600000000000001E-2</v>
      </c>
      <c r="R25">
        <f>VLOOKUP($D25,QData!$A$1:$W$202,S$1,FALSE)</f>
        <v>3.2599999999999997E-2</v>
      </c>
      <c r="S25">
        <f>VLOOKUP($D25,QData!$A$1:$W$202,T$1,FALSE)</f>
        <v>5.1799999999999999E-2</v>
      </c>
      <c r="T25">
        <f>VLOOKUP($D25,QData!$A$1:$W$202,U$1,FALSE)</f>
        <v>5.6399999999999999E-2</v>
      </c>
      <c r="U25">
        <f>VLOOKUP($D25,QData!$A$1:$W$202,V$1,FALSE)</f>
        <v>5.0999999999999997E-2</v>
      </c>
      <c r="V25">
        <f>VLOOKUP($D25,QData!$A$1:$W$202,W$1,FALSE)</f>
        <v>3.1800000000000002E-2</v>
      </c>
      <c r="W25">
        <f>VLOOKUP($D25,QData!$A$1:$W$202,X$1,FALSE)</f>
        <v>4.9299999999999997E-2</v>
      </c>
      <c r="X25">
        <f>VLOOKUP($D25,QData!$A$1:$W$202,Y$1,FALSE)</f>
        <v>1.14E-2</v>
      </c>
      <c r="Y25" s="6"/>
      <c r="Z25" s="6"/>
      <c r="AA25" s="6"/>
      <c r="AB25" s="6"/>
    </row>
    <row r="26" spans="1:28" x14ac:dyDescent="0.2">
      <c r="A26" s="6"/>
      <c r="B26" s="6"/>
      <c r="C26" s="6"/>
      <c r="D26" t="s">
        <v>27</v>
      </c>
      <c r="E26">
        <f>VLOOKUP($D26,QData!$A$1:$W$202,F$1,FALSE)</f>
        <v>1.3100000000000001E-2</v>
      </c>
      <c r="F26">
        <f>VLOOKUP($D26,QData!$A$1:$W$202,G$1,FALSE)</f>
        <v>3.6700000000000003E-2</v>
      </c>
      <c r="G26">
        <f>VLOOKUP($D26,QData!$A$1:$W$202,H$1,FALSE)</f>
        <v>-1.8499999999999999E-2</v>
      </c>
      <c r="H26">
        <f>VLOOKUP($D26,QData!$A$1:$W$202,I$1,FALSE)</f>
        <v>2.81E-2</v>
      </c>
      <c r="I26">
        <f>VLOOKUP($D26,QData!$A$1:$W$202,J$1,FALSE)</f>
        <v>3.6299999999999999E-2</v>
      </c>
      <c r="J26">
        <f>VLOOKUP($D26,QData!$A$1:$W$202,K$1,FALSE)</f>
        <v>2.9499999999999998E-2</v>
      </c>
      <c r="K26">
        <f>VLOOKUP($D26,QData!$A$1:$W$202,L$1,FALSE)</f>
        <v>4.4299999999999999E-2</v>
      </c>
      <c r="L26">
        <f>VLOOKUP($D26,QData!$A$1:$W$202,M$1,FALSE)</f>
        <v>3.3300000000000003E-2</v>
      </c>
      <c r="M26">
        <f>VLOOKUP($D26,QData!$A$1:$W$202,N$1,FALSE)</f>
        <v>4.07E-2</v>
      </c>
      <c r="N26">
        <f>VLOOKUP($D26,QData!$A$1:$W$202,O$1,FALSE)</f>
        <v>3.2099999999999997E-2</v>
      </c>
      <c r="O26">
        <f>VLOOKUP($D26,QData!$A$1:$W$202,P$1,FALSE)</f>
        <v>4.1399999999999999E-2</v>
      </c>
      <c r="P26">
        <f>VLOOKUP($D26,QData!$A$1:$W$202,Q$1,FALSE)</f>
        <v>3.3799999999999997E-2</v>
      </c>
      <c r="Q26">
        <f>VLOOKUP($D26,QData!$A$1:$W$202,R$1,FALSE)</f>
        <v>3.5000000000000003E-2</v>
      </c>
      <c r="R26">
        <f>VLOOKUP($D26,QData!$A$1:$W$202,S$1,FALSE)</f>
        <v>2.5600000000000001E-2</v>
      </c>
      <c r="S26">
        <f>VLOOKUP($D26,QData!$A$1:$W$202,T$1,FALSE)</f>
        <v>4.0399999999999998E-2</v>
      </c>
      <c r="T26">
        <f>VLOOKUP($D26,QData!$A$1:$W$202,U$1,FALSE)</f>
        <v>4.2599999999999999E-2</v>
      </c>
      <c r="U26">
        <f>VLOOKUP($D26,QData!$A$1:$W$202,V$1,FALSE)</f>
        <v>3.6299999999999999E-2</v>
      </c>
      <c r="V26">
        <f>VLOOKUP($D26,QData!$A$1:$W$202,W$1,FALSE)</f>
        <v>2.2599999999999999E-2</v>
      </c>
      <c r="W26">
        <f>VLOOKUP($D26,QData!$A$1:$W$202,X$1,FALSE)</f>
        <v>3.5299999999999998E-2</v>
      </c>
      <c r="X26">
        <f>VLOOKUP($D26,QData!$A$1:$W$202,Y$1,FALSE)</f>
        <v>8.0000000000000002E-3</v>
      </c>
      <c r="Y26" s="6"/>
      <c r="Z26" s="6"/>
      <c r="AA26" s="6"/>
      <c r="AB26" s="6"/>
    </row>
    <row r="27" spans="1:28" ht="19" x14ac:dyDescent="0.25">
      <c r="A27" s="6"/>
      <c r="B27" s="6"/>
      <c r="C27" s="6"/>
      <c r="D27" s="7" t="s">
        <v>40</v>
      </c>
      <c r="E27" s="6"/>
      <c r="F27" s="6"/>
      <c r="G27" s="6"/>
      <c r="H27" s="6"/>
      <c r="I27" s="6"/>
      <c r="J27" s="6"/>
      <c r="K27" s="6"/>
      <c r="L27" s="6"/>
      <c r="M27" s="6"/>
      <c r="N27" s="6"/>
      <c r="O27" s="6"/>
      <c r="P27" s="6"/>
      <c r="Q27" s="6"/>
      <c r="R27" s="6"/>
      <c r="S27" s="6"/>
      <c r="T27" s="6"/>
      <c r="U27" s="6"/>
      <c r="V27" s="6"/>
      <c r="W27" s="6"/>
      <c r="X27" s="6"/>
      <c r="Y27" s="6"/>
      <c r="Z27" s="6"/>
      <c r="AA27" s="6"/>
      <c r="AB27" s="6"/>
    </row>
    <row r="28" spans="1:28" x14ac:dyDescent="0.2">
      <c r="A28" s="6"/>
      <c r="B28" s="6"/>
      <c r="C28" s="6"/>
      <c r="D28" t="s">
        <v>9</v>
      </c>
      <c r="E28" s="9">
        <f>VLOOKUP($D28,QData!$A$1:$W$202,F$1,FALSE)</f>
        <v>830</v>
      </c>
      <c r="F28" s="9">
        <f>VLOOKUP($D28,QData!$A$1:$W$202,G$1,FALSE)</f>
        <v>988</v>
      </c>
      <c r="G28" s="9">
        <f>VLOOKUP($D28,QData!$A$1:$W$202,H$1,FALSE)</f>
        <v>1579</v>
      </c>
      <c r="H28" s="9">
        <f>VLOOKUP($D28,QData!$A$1:$W$202,I$1,FALSE)</f>
        <v>1539</v>
      </c>
      <c r="I28" s="9">
        <f>VLOOKUP($D28,QData!$A$1:$W$202,J$1,FALSE)</f>
        <v>1465</v>
      </c>
      <c r="J28" s="9">
        <f>VLOOKUP($D28,QData!$A$1:$W$202,K$1,FALSE)</f>
        <v>1783</v>
      </c>
      <c r="K28" s="9">
        <f>VLOOKUP($D28,QData!$A$1:$W$202,L$1,FALSE)</f>
        <v>1622</v>
      </c>
      <c r="L28" s="9">
        <f>VLOOKUP($D28,QData!$A$1:$W$202,M$1,FALSE)</f>
        <v>1517</v>
      </c>
      <c r="M28" s="9">
        <f>VLOOKUP($D28,QData!$A$1:$W$202,N$1,FALSE)</f>
        <v>1544</v>
      </c>
      <c r="N28" s="9">
        <f>VLOOKUP($D28,QData!$A$1:$W$202,O$1,FALSE)</f>
        <v>1479</v>
      </c>
      <c r="O28" s="9">
        <f>VLOOKUP($D28,QData!$A$1:$W$202,P$1,FALSE)</f>
        <v>1345</v>
      </c>
      <c r="P28" s="9">
        <f>VLOOKUP($D28,QData!$A$1:$W$202,Q$1,FALSE)</f>
        <v>1182</v>
      </c>
      <c r="Q28" s="9">
        <f>VLOOKUP($D28,QData!$A$1:$W$202,R$1,FALSE)</f>
        <v>1237</v>
      </c>
      <c r="R28" s="9">
        <f>VLOOKUP($D28,QData!$A$1:$W$202,S$1,FALSE)</f>
        <v>1657</v>
      </c>
      <c r="S28" s="9">
        <f>VLOOKUP($D28,QData!$A$1:$W$202,T$1,FALSE)</f>
        <v>1702</v>
      </c>
      <c r="T28" s="9">
        <f>VLOOKUP($D28,QData!$A$1:$W$202,U$1,FALSE)</f>
        <v>1785</v>
      </c>
      <c r="U28" s="9">
        <f>VLOOKUP($D28,QData!$A$1:$W$202,V$1,FALSE)</f>
        <v>1457</v>
      </c>
      <c r="V28" s="9">
        <f>VLOOKUP($D28,QData!$A$1:$W$202,W$1,FALSE)</f>
        <v>1380</v>
      </c>
      <c r="W28" s="9">
        <f>VLOOKUP($D28,QData!$A$1:$W$202,X$1,FALSE)</f>
        <v>1054</v>
      </c>
      <c r="X28" s="9">
        <f>VLOOKUP($D28,QData!$A$1:$W$202,Y$1,FALSE)</f>
        <v>955</v>
      </c>
      <c r="Y28" s="6"/>
      <c r="Z28" s="6"/>
      <c r="AA28" s="6"/>
      <c r="AB28" s="6"/>
    </row>
    <row r="29" spans="1:28" x14ac:dyDescent="0.2">
      <c r="A29" s="6"/>
      <c r="B29" s="6"/>
      <c r="C29" s="6"/>
      <c r="D29" t="s">
        <v>24</v>
      </c>
      <c r="E29" s="9">
        <f>VLOOKUP($D29,QData!$A$1:$W$202,F$1,FALSE)</f>
        <v>0.86</v>
      </c>
      <c r="F29" s="9">
        <f>VLOOKUP($D29,QData!$A$1:$W$202,G$1,FALSE)</f>
        <v>1.03</v>
      </c>
      <c r="G29" s="9">
        <f>VLOOKUP($D29,QData!$A$1:$W$202,H$1,FALSE)</f>
        <v>1.61</v>
      </c>
      <c r="H29" s="9">
        <f>VLOOKUP($D29,QData!$A$1:$W$202,I$1,FALSE)</f>
        <v>1.54</v>
      </c>
      <c r="I29" s="9">
        <f>VLOOKUP($D29,QData!$A$1:$W$202,J$1,FALSE)</f>
        <v>1.44</v>
      </c>
      <c r="J29" s="9">
        <f>VLOOKUP($D29,QData!$A$1:$W$202,K$1,FALSE)</f>
        <v>1.76</v>
      </c>
      <c r="K29" s="9">
        <f>VLOOKUP($D29,QData!$A$1:$W$202,L$1,FALSE)</f>
        <v>1.62</v>
      </c>
      <c r="L29" s="9">
        <f>VLOOKUP($D29,QData!$A$1:$W$202,M$1,FALSE)</f>
        <v>1.55</v>
      </c>
      <c r="M29" s="9">
        <f>VLOOKUP($D29,QData!$A$1:$W$202,N$1,FALSE)</f>
        <v>1.62</v>
      </c>
      <c r="N29" s="9">
        <f>VLOOKUP($D29,QData!$A$1:$W$202,O$1,FALSE)</f>
        <v>1.58</v>
      </c>
      <c r="O29" s="9">
        <f>VLOOKUP($D29,QData!$A$1:$W$202,P$1,FALSE)</f>
        <v>1.44</v>
      </c>
      <c r="P29" s="9">
        <f>VLOOKUP($D29,QData!$A$1:$W$202,Q$1,FALSE)</f>
        <v>1.28</v>
      </c>
      <c r="Q29" s="9">
        <f>VLOOKUP($D29,QData!$A$1:$W$202,R$1,FALSE)</f>
        <v>1.35</v>
      </c>
      <c r="R29" s="9">
        <f>VLOOKUP($D29,QData!$A$1:$W$202,S$1,FALSE)</f>
        <v>1.83</v>
      </c>
      <c r="S29" s="9">
        <f>VLOOKUP($D29,QData!$A$1:$W$202,T$1,FALSE)</f>
        <v>2.0299999999999998</v>
      </c>
      <c r="T29" s="9">
        <f>VLOOKUP($D29,QData!$A$1:$W$202,U$1,FALSE)</f>
        <v>2.2599999999999998</v>
      </c>
      <c r="U29" s="9">
        <f>VLOOKUP($D29,QData!$A$1:$W$202,V$1,FALSE)</f>
        <v>2.0099999999999998</v>
      </c>
      <c r="V29" s="9">
        <f>VLOOKUP($D29,QData!$A$1:$W$202,W$1,FALSE)</f>
        <v>2.12</v>
      </c>
      <c r="W29" s="9">
        <f>VLOOKUP($D29,QData!$A$1:$W$202,X$1,FALSE)</f>
        <v>1.61</v>
      </c>
      <c r="X29" s="9">
        <f>VLOOKUP($D29,QData!$A$1:$W$202,Y$1,FALSE)</f>
        <v>1.39</v>
      </c>
      <c r="Y29" s="6"/>
      <c r="Z29" s="6"/>
      <c r="AA29" s="6"/>
      <c r="AB29" s="6"/>
    </row>
    <row r="30" spans="1:28" x14ac:dyDescent="0.2">
      <c r="A30" s="6"/>
      <c r="B30" s="6"/>
      <c r="C30" s="6"/>
      <c r="D30" t="s">
        <v>25</v>
      </c>
      <c r="E30">
        <f>VLOOKUP($D30,QData!$A$1:$W$202,F$1,FALSE)</f>
        <v>34.299999999999997</v>
      </c>
      <c r="F30">
        <f>VLOOKUP($D30,QData!$A$1:$W$202,G$1,FALSE)</f>
        <v>40.840000000000003</v>
      </c>
      <c r="G30">
        <f>VLOOKUP($D30,QData!$A$1:$W$202,H$1,FALSE)</f>
        <v>63.51</v>
      </c>
      <c r="H30">
        <f>VLOOKUP($D30,QData!$A$1:$W$202,I$1,FALSE)</f>
        <v>36.799999999999997</v>
      </c>
      <c r="I30" t="str">
        <f>VLOOKUP($D30,QData!$A$1:$W$202,J$1,FALSE)</f>
        <v>-</v>
      </c>
      <c r="J30">
        <f>VLOOKUP($D30,QData!$A$1:$W$202,K$1,FALSE)</f>
        <v>42.08</v>
      </c>
      <c r="K30">
        <f>VLOOKUP($D30,QData!$A$1:$W$202,L$1,FALSE)</f>
        <v>21.37</v>
      </c>
      <c r="L30">
        <f>VLOOKUP($D30,QData!$A$1:$W$202,M$1,FALSE)</f>
        <v>25.6</v>
      </c>
      <c r="M30" t="str">
        <f>VLOOKUP($D30,QData!$A$1:$W$202,N$1,FALSE)</f>
        <v>-</v>
      </c>
      <c r="N30">
        <f>VLOOKUP($D30,QData!$A$1:$W$202,O$1,FALSE)</f>
        <v>20.84</v>
      </c>
      <c r="O30">
        <f>VLOOKUP($D30,QData!$A$1:$W$202,P$1,FALSE)</f>
        <v>46.47</v>
      </c>
      <c r="P30">
        <f>VLOOKUP($D30,QData!$A$1:$W$202,Q$1,FALSE)</f>
        <v>46.47</v>
      </c>
      <c r="Q30" t="str">
        <f>VLOOKUP($D30,QData!$A$1:$W$202,R$1,FALSE)</f>
        <v>-</v>
      </c>
      <c r="R30">
        <f>VLOOKUP($D30,QData!$A$1:$W$202,S$1,FALSE)</f>
        <v>46.33</v>
      </c>
      <c r="S30">
        <f>VLOOKUP($D30,QData!$A$1:$W$202,T$1,FALSE)</f>
        <v>48.97</v>
      </c>
      <c r="T30">
        <f>VLOOKUP($D30,QData!$A$1:$W$202,U$1,FALSE)</f>
        <v>33.299999999999997</v>
      </c>
      <c r="U30" t="str">
        <f>VLOOKUP($D30,QData!$A$1:$W$202,V$1,FALSE)</f>
        <v>-</v>
      </c>
      <c r="V30">
        <f>VLOOKUP($D30,QData!$A$1:$W$202,W$1,FALSE)</f>
        <v>15.93</v>
      </c>
      <c r="W30">
        <f>VLOOKUP($D30,QData!$A$1:$W$202,X$1,FALSE)</f>
        <v>10.55</v>
      </c>
      <c r="X30">
        <f>VLOOKUP($D30,QData!$A$1:$W$202,Y$1,FALSE)</f>
        <v>8.8000000000000007</v>
      </c>
      <c r="Y30" s="6"/>
      <c r="Z30" s="6"/>
      <c r="AA30" s="6"/>
      <c r="AB30" s="6"/>
    </row>
    <row r="31" spans="1:28" ht="19" x14ac:dyDescent="0.25">
      <c r="A31" s="6"/>
      <c r="B31" s="6"/>
      <c r="C31" s="6"/>
      <c r="D31" s="7" t="s">
        <v>39</v>
      </c>
      <c r="E31" s="6"/>
      <c r="F31" s="6"/>
      <c r="G31" s="6"/>
      <c r="H31" s="6"/>
      <c r="I31" s="6"/>
      <c r="J31" s="6"/>
      <c r="K31" s="6"/>
      <c r="L31" s="6"/>
      <c r="M31" s="6"/>
      <c r="N31" s="6"/>
      <c r="O31" s="6"/>
      <c r="P31" s="6"/>
      <c r="Q31" s="6"/>
      <c r="R31" s="6"/>
      <c r="S31" s="6"/>
      <c r="T31" s="6"/>
      <c r="U31" s="6"/>
      <c r="V31" s="6"/>
      <c r="W31" s="6"/>
      <c r="X31" s="6"/>
      <c r="Y31" s="6"/>
      <c r="Z31" s="6"/>
      <c r="AA31" s="6"/>
      <c r="AB31" s="6"/>
    </row>
    <row r="32" spans="1:28" x14ac:dyDescent="0.2">
      <c r="A32" s="6"/>
      <c r="B32" s="6"/>
      <c r="C32" s="6"/>
      <c r="D32" t="s">
        <v>33</v>
      </c>
      <c r="E32">
        <f>VLOOKUP($D32,QData!$A$1:$V$162,F$1,FALSE)</f>
        <v>-0.09</v>
      </c>
      <c r="F32">
        <f>VLOOKUP($D32,QData!$A$1:$V$162,G$1,FALSE)</f>
        <v>0.14000000000000001</v>
      </c>
      <c r="G32">
        <f>VLOOKUP($D32,QData!$A$1:$V$162,H$1,FALSE)</f>
        <v>-0.52</v>
      </c>
      <c r="H32">
        <f>VLOOKUP($D32,QData!$A$1:$V$162,I$1,FALSE)</f>
        <v>0.3</v>
      </c>
      <c r="I32">
        <f>VLOOKUP($D32,QData!$A$1:$V$162,J$1,FALSE)</f>
        <v>0.41</v>
      </c>
      <c r="J32">
        <f>VLOOKUP($D32,QData!$A$1:$V$162,K$1,FALSE)</f>
        <v>0.34</v>
      </c>
      <c r="K32">
        <f>VLOOKUP($D32,QData!$A$1:$V$162,L$1,FALSE)</f>
        <v>0.55000000000000004</v>
      </c>
      <c r="L32">
        <f>VLOOKUP($D32,QData!$A$1:$V$162,M$1,FALSE)</f>
        <v>0.32</v>
      </c>
      <c r="M32">
        <f>VLOOKUP($D32,QData!$A$1:$V$162,N$1,FALSE)</f>
        <v>0.49</v>
      </c>
      <c r="N32">
        <f>VLOOKUP($D32,QData!$A$1:$V$162,O$1,FALSE)</f>
        <v>0.42</v>
      </c>
      <c r="O32">
        <f>VLOOKUP($D32,QData!$A$1:$V$162,P$1,FALSE)</f>
        <v>0.49</v>
      </c>
      <c r="P32">
        <f>VLOOKUP($D32,QData!$A$1:$V$162,Q$1,FALSE)</f>
        <v>0.28999999999999998</v>
      </c>
      <c r="Q32">
        <f>VLOOKUP($D32,QData!$A$1:$V$162,R$1,FALSE)</f>
        <v>0.41</v>
      </c>
      <c r="R32">
        <f>VLOOKUP($D32,QData!$A$1:$V$162,S$1,FALSE)</f>
        <v>0.35</v>
      </c>
      <c r="S32">
        <f>VLOOKUP($D32,QData!$A$1:$V$162,T$1,FALSE)</f>
        <v>0.53</v>
      </c>
      <c r="T32">
        <f>VLOOKUP($D32,QData!$A$1:$V$162,U$1,FALSE)</f>
        <v>-0.27</v>
      </c>
      <c r="U32">
        <f>VLOOKUP($D32,QData!$A$1:$V$162,V$1,FALSE)</f>
        <v>0.4</v>
      </c>
      <c r="V32">
        <f>VLOOKUP($D32,QData!$A$1:$V$162,W$1,FALSE)</f>
        <v>0.28000000000000003</v>
      </c>
      <c r="W32">
        <f>VLOOKUP($D32,QData!$A$1:$V$162,X$1,FALSE)</f>
        <v>-0.17</v>
      </c>
      <c r="X32">
        <f>VLOOKUP($D32,QData!$A$1:$V$162,Y$1,FALSE)</f>
        <v>-0.12</v>
      </c>
      <c r="Y32" s="6"/>
      <c r="Z32" s="6"/>
      <c r="AA32" s="6"/>
      <c r="AB32" s="6"/>
    </row>
    <row r="33" spans="1:28" x14ac:dyDescent="0.2">
      <c r="A33" s="6"/>
      <c r="B33" s="6"/>
      <c r="C33" s="6"/>
      <c r="D33" t="s">
        <v>34</v>
      </c>
      <c r="E33">
        <f>VLOOKUP($D33,QData!$A$1:$V$162,F$1,FALSE)</f>
        <v>-0.09</v>
      </c>
      <c r="F33">
        <f>VLOOKUP($D33,QData!$A$1:$V$162,G$1,FALSE)</f>
        <v>0.14000000000000001</v>
      </c>
      <c r="G33">
        <f>VLOOKUP($D33,QData!$A$1:$V$162,H$1,FALSE)</f>
        <v>-0.52</v>
      </c>
      <c r="H33">
        <f>VLOOKUP($D33,QData!$A$1:$V$162,I$1,FALSE)</f>
        <v>0.3</v>
      </c>
      <c r="I33">
        <f>VLOOKUP($D33,QData!$A$1:$V$162,J$1,FALSE)</f>
        <v>0.41</v>
      </c>
      <c r="J33">
        <f>VLOOKUP($D33,QData!$A$1:$V$162,K$1,FALSE)</f>
        <v>0.34</v>
      </c>
      <c r="K33">
        <f>VLOOKUP($D33,QData!$A$1:$V$162,L$1,FALSE)</f>
        <v>0.55000000000000004</v>
      </c>
      <c r="L33">
        <f>VLOOKUP($D33,QData!$A$1:$V$162,M$1,FALSE)</f>
        <v>0.32</v>
      </c>
      <c r="M33">
        <f>VLOOKUP($D33,QData!$A$1:$V$162,N$1,FALSE)</f>
        <v>0.48</v>
      </c>
      <c r="N33">
        <f>VLOOKUP($D33,QData!$A$1:$V$162,O$1,FALSE)</f>
        <v>0.42</v>
      </c>
      <c r="O33">
        <f>VLOOKUP($D33,QData!$A$1:$V$162,P$1,FALSE)</f>
        <v>0.49</v>
      </c>
      <c r="P33">
        <f>VLOOKUP($D33,QData!$A$1:$V$162,Q$1,FALSE)</f>
        <v>0.28999999999999998</v>
      </c>
      <c r="Q33">
        <f>VLOOKUP($D33,QData!$A$1:$V$162,R$1,FALSE)</f>
        <v>0.41</v>
      </c>
      <c r="R33">
        <f>VLOOKUP($D33,QData!$A$1:$V$162,S$1,FALSE)</f>
        <v>0.34</v>
      </c>
      <c r="S33">
        <f>VLOOKUP($D33,QData!$A$1:$V$162,T$1,FALSE)</f>
        <v>0.53</v>
      </c>
      <c r="T33">
        <f>VLOOKUP($D33,QData!$A$1:$V$162,U$1,FALSE)</f>
        <v>-0.27</v>
      </c>
      <c r="U33">
        <f>VLOOKUP($D33,QData!$A$1:$V$162,V$1,FALSE)</f>
        <v>0.4</v>
      </c>
      <c r="V33">
        <f>VLOOKUP($D33,QData!$A$1:$V$162,W$1,FALSE)</f>
        <v>0.27</v>
      </c>
      <c r="W33">
        <f>VLOOKUP($D33,QData!$A$1:$V$162,X$1,FALSE)</f>
        <v>-0.17</v>
      </c>
      <c r="X33">
        <f>VLOOKUP($D33,QData!$A$1:$V$162,Y$1,FALSE)</f>
        <v>-0.12</v>
      </c>
      <c r="Y33" s="6"/>
      <c r="Z33" s="6"/>
      <c r="AA33" s="6"/>
      <c r="AB33" s="6"/>
    </row>
    <row r="34" spans="1:28" x14ac:dyDescent="0.2">
      <c r="A34" s="6"/>
      <c r="B34" s="6"/>
      <c r="C34" s="6"/>
      <c r="D34" t="s">
        <v>18</v>
      </c>
      <c r="E34">
        <f>VLOOKUP($D34,QData!$A$1:$V$162,F$1,FALSE)</f>
        <v>1.03</v>
      </c>
      <c r="F34">
        <f>VLOOKUP($D34,QData!$A$1:$V$162,G$1,FALSE)</f>
        <v>0.21</v>
      </c>
      <c r="G34">
        <f>VLOOKUP($D34,QData!$A$1:$V$162,H$1,FALSE)</f>
        <v>0.14000000000000001</v>
      </c>
      <c r="H34">
        <f>VLOOKUP($D34,QData!$A$1:$V$162,I$1,FALSE)</f>
        <v>-0.53</v>
      </c>
      <c r="I34">
        <f>VLOOKUP($D34,QData!$A$1:$V$162,J$1,FALSE)</f>
        <v>1.03</v>
      </c>
      <c r="J34">
        <f>VLOOKUP($D34,QData!$A$1:$V$162,K$1,FALSE)</f>
        <v>0.8</v>
      </c>
      <c r="K34">
        <f>VLOOKUP($D34,QData!$A$1:$V$162,L$1,FALSE)</f>
        <v>0.4</v>
      </c>
      <c r="L34">
        <f>VLOOKUP($D34,QData!$A$1:$V$162,M$1,FALSE)</f>
        <v>-0.78</v>
      </c>
      <c r="M34">
        <f>VLOOKUP($D34,QData!$A$1:$V$162,N$1,FALSE)</f>
        <v>2.2000000000000002</v>
      </c>
      <c r="N34">
        <f>VLOOKUP($D34,QData!$A$1:$V$162,O$1,FALSE)</f>
        <v>0.23</v>
      </c>
      <c r="O34">
        <f>VLOOKUP($D34,QData!$A$1:$V$162,P$1,FALSE)</f>
        <v>0.52</v>
      </c>
      <c r="P34">
        <f>VLOOKUP($D34,QData!$A$1:$V$162,Q$1,FALSE)</f>
        <v>-0.49</v>
      </c>
      <c r="Q34">
        <f>VLOOKUP($D34,QData!$A$1:$V$162,R$1,FALSE)</f>
        <v>0.75</v>
      </c>
      <c r="R34">
        <f>VLOOKUP($D34,QData!$A$1:$V$162,S$1,FALSE)</f>
        <v>0.1</v>
      </c>
      <c r="S34">
        <f>VLOOKUP($D34,QData!$A$1:$V$162,T$1,FALSE)</f>
        <v>0.77</v>
      </c>
      <c r="T34">
        <f>VLOOKUP($D34,QData!$A$1:$V$162,U$1,FALSE)</f>
        <v>-0.41</v>
      </c>
      <c r="U34">
        <f>VLOOKUP($D34,QData!$A$1:$V$162,V$1,FALSE)</f>
        <v>0.84</v>
      </c>
      <c r="V34">
        <f>VLOOKUP($D34,QData!$A$1:$V$162,W$1,FALSE)</f>
        <v>0.9</v>
      </c>
      <c r="W34">
        <f>VLOOKUP($D34,QData!$A$1:$V$162,X$1,FALSE)</f>
        <v>1.5</v>
      </c>
      <c r="X34">
        <f>VLOOKUP($D34,QData!$A$1:$V$162,Y$1,FALSE)</f>
        <v>0.35</v>
      </c>
      <c r="Y34" s="6"/>
      <c r="Z34" s="6"/>
      <c r="AA34" s="6"/>
      <c r="AB34" s="6"/>
    </row>
    <row r="35" spans="1:28" x14ac:dyDescent="0.2">
      <c r="A35" s="6"/>
      <c r="B35" s="6"/>
      <c r="C35" s="6"/>
      <c r="D35" t="s">
        <v>35</v>
      </c>
      <c r="E35">
        <f>VLOOKUP($D35,QData!$A$1:$V$162,F$1,FALSE)</f>
        <v>7.0000000000000007E-2</v>
      </c>
      <c r="F35">
        <f>VLOOKUP($D35,QData!$A$1:$V$162,G$1,FALSE)</f>
        <v>7.0000000000000007E-2</v>
      </c>
      <c r="G35">
        <f>VLOOKUP($D35,QData!$A$1:$V$162,H$1,FALSE)</f>
        <v>7.0000000000000007E-2</v>
      </c>
      <c r="H35">
        <f>VLOOKUP($D35,QData!$A$1:$V$162,I$1,FALSE)</f>
        <v>7.0000000000000007E-2</v>
      </c>
      <c r="I35">
        <f>VLOOKUP($D35,QData!$A$1:$V$162,J$1,FALSE)</f>
        <v>7.0000000000000007E-2</v>
      </c>
      <c r="J35">
        <f>VLOOKUP($D35,QData!$A$1:$V$162,K$1,FALSE)</f>
        <v>7.0000000000000007E-2</v>
      </c>
      <c r="K35">
        <f>VLOOKUP($D35,QData!$A$1:$V$162,L$1,FALSE)</f>
        <v>7.0000000000000007E-2</v>
      </c>
      <c r="L35">
        <f>VLOOKUP($D35,QData!$A$1:$V$162,M$1,FALSE)</f>
        <v>7.0000000000000007E-2</v>
      </c>
      <c r="M35">
        <f>VLOOKUP($D35,QData!$A$1:$V$162,N$1,FALSE)</f>
        <v>7.0000000000000007E-2</v>
      </c>
      <c r="N35">
        <f>VLOOKUP($D35,QData!$A$1:$V$162,O$1,FALSE)</f>
        <v>7.0000000000000007E-2</v>
      </c>
      <c r="O35">
        <f>VLOOKUP($D35,QData!$A$1:$V$162,P$1,FALSE)</f>
        <v>7.0000000000000007E-2</v>
      </c>
      <c r="P35">
        <f>VLOOKUP($D35,QData!$A$1:$V$162,Q$1,FALSE)</f>
        <v>7.0000000000000007E-2</v>
      </c>
      <c r="Q35">
        <f>VLOOKUP($D35,QData!$A$1:$V$162,R$1,FALSE)</f>
        <v>7.0000000000000007E-2</v>
      </c>
      <c r="R35">
        <f>VLOOKUP($D35,QData!$A$1:$V$162,S$1,FALSE)</f>
        <v>0.06</v>
      </c>
      <c r="S35">
        <f>VLOOKUP($D35,QData!$A$1:$V$162,T$1,FALSE)</f>
        <v>0.06</v>
      </c>
      <c r="T35">
        <f>VLOOKUP($D35,QData!$A$1:$V$162,U$1,FALSE)</f>
        <v>0.06</v>
      </c>
      <c r="U35">
        <f>VLOOKUP($D35,QData!$A$1:$V$162,V$1,FALSE)</f>
        <v>0.06</v>
      </c>
      <c r="V35">
        <f>VLOOKUP($D35,QData!$A$1:$V$162,W$1,FALSE)</f>
        <v>0.06</v>
      </c>
      <c r="W35">
        <f>VLOOKUP($D35,QData!$A$1:$V$162,X$1,FALSE)</f>
        <v>0.06</v>
      </c>
      <c r="X35">
        <f>VLOOKUP($D35,QData!$A$1:$V$162,Y$1,FALSE)</f>
        <v>0.06</v>
      </c>
      <c r="Y35" s="6"/>
      <c r="Z35" s="6"/>
      <c r="AA35" s="6"/>
      <c r="AB35" s="6"/>
    </row>
    <row r="36" spans="1:28" x14ac:dyDescent="0.2">
      <c r="A36" s="6"/>
      <c r="B36" s="6"/>
      <c r="C36" s="6"/>
      <c r="D36" s="38" t="s">
        <v>115</v>
      </c>
      <c r="E36">
        <f>VLOOKUP($D36,QData!$A$1:$V$162,F$1,FALSE)</f>
        <v>29</v>
      </c>
      <c r="F36">
        <f>VLOOKUP($D36,QData!$A$1:$V$162,G$1,FALSE)</f>
        <v>29</v>
      </c>
      <c r="G36">
        <f>VLOOKUP($D36,QData!$A$1:$V$162,H$1,FALSE)</f>
        <v>29</v>
      </c>
      <c r="H36">
        <f>VLOOKUP($D36,QData!$A$1:$V$162,I$1,FALSE)</f>
        <v>29</v>
      </c>
      <c r="I36">
        <f>VLOOKUP($D36,QData!$A$1:$V$162,J$1,FALSE)</f>
        <v>29</v>
      </c>
      <c r="J36">
        <f>VLOOKUP($D36,QData!$A$1:$V$162,K$1,FALSE)</f>
        <v>29</v>
      </c>
      <c r="K36">
        <f>VLOOKUP($D36,QData!$A$1:$V$162,L$1,FALSE)</f>
        <v>29</v>
      </c>
      <c r="L36">
        <f>VLOOKUP($D36,QData!$A$1:$V$162,M$1,FALSE)</f>
        <v>29</v>
      </c>
      <c r="M36">
        <f>VLOOKUP($D36,QData!$A$1:$V$162,N$1,FALSE)</f>
        <v>29</v>
      </c>
      <c r="N36">
        <f>VLOOKUP($D36,QData!$A$1:$V$162,O$1,FALSE)</f>
        <v>29</v>
      </c>
      <c r="O36">
        <f>VLOOKUP($D36,QData!$A$1:$V$162,P$1,FALSE)</f>
        <v>29</v>
      </c>
      <c r="P36">
        <f>VLOOKUP($D36,QData!$A$1:$V$162,Q$1,FALSE)</f>
        <v>29</v>
      </c>
      <c r="Q36">
        <f>VLOOKUP($D36,QData!$A$1:$V$162,R$1,FALSE)</f>
        <v>29</v>
      </c>
      <c r="R36">
        <f>VLOOKUP($D36,QData!$A$1:$V$162,S$1,FALSE)</f>
        <v>28</v>
      </c>
      <c r="S36">
        <f>VLOOKUP($D36,QData!$A$1:$V$162,T$1,FALSE)</f>
        <v>28</v>
      </c>
      <c r="T36">
        <f>VLOOKUP($D36,QData!$A$1:$V$162,U$1,FALSE)</f>
        <v>27</v>
      </c>
      <c r="U36">
        <f>VLOOKUP($D36,QData!$A$1:$V$162,V$1,FALSE)</f>
        <v>24</v>
      </c>
      <c r="V36">
        <f>VLOOKUP($D36,QData!$A$1:$V$162,W$1,FALSE)</f>
        <v>24</v>
      </c>
      <c r="W36">
        <f>VLOOKUP($D36,QData!$A$1:$V$162,X$1,FALSE)</f>
        <v>24</v>
      </c>
      <c r="X36">
        <f>VLOOKUP($D36,QData!$A$1:$V$162,Y$1,FALSE)</f>
        <v>24</v>
      </c>
      <c r="Y36" s="6"/>
      <c r="Z36" s="6"/>
      <c r="AA36" s="6"/>
      <c r="AB36" s="6"/>
    </row>
    <row r="37" spans="1:28" x14ac:dyDescent="0.2">
      <c r="A37" s="6"/>
      <c r="B37" s="6"/>
      <c r="C37" s="6"/>
      <c r="D37" s="6"/>
      <c r="E37" s="6"/>
      <c r="F37" s="6"/>
      <c r="G37" s="6"/>
      <c r="H37" s="6"/>
      <c r="I37" s="6"/>
      <c r="J37" s="6"/>
      <c r="K37" s="6"/>
      <c r="L37" s="6"/>
      <c r="M37" s="6"/>
      <c r="N37" s="6"/>
      <c r="O37" s="6"/>
      <c r="P37" s="6"/>
      <c r="Q37" s="6"/>
      <c r="R37" s="6"/>
      <c r="S37" s="6"/>
      <c r="T37" s="6"/>
      <c r="U37" s="6"/>
      <c r="V37" s="6"/>
      <c r="W37" s="6"/>
      <c r="X37" s="6"/>
      <c r="Y37" s="6"/>
      <c r="Z37" s="6"/>
      <c r="AA37" s="6"/>
      <c r="AB37" s="6"/>
    </row>
    <row r="38" spans="1:28" x14ac:dyDescent="0.2">
      <c r="A38" s="6"/>
      <c r="B38" s="6"/>
      <c r="C38" s="6"/>
      <c r="D38" s="6"/>
      <c r="E38" s="6"/>
      <c r="F38" s="6"/>
      <c r="G38" s="6"/>
      <c r="H38" s="6"/>
      <c r="I38" s="6"/>
      <c r="J38" s="6"/>
      <c r="K38" s="6"/>
      <c r="L38" s="6"/>
      <c r="M38" s="6"/>
      <c r="N38" s="6"/>
      <c r="O38" s="6"/>
      <c r="P38" s="6"/>
      <c r="Q38" s="6"/>
      <c r="R38" s="6"/>
      <c r="S38" s="6"/>
      <c r="T38" s="6"/>
      <c r="U38" s="6"/>
      <c r="V38" s="6"/>
      <c r="W38" s="6"/>
      <c r="X38" s="6"/>
      <c r="Y38" s="6"/>
      <c r="Z38" s="6"/>
      <c r="AA38" s="6"/>
      <c r="AB38" s="6"/>
    </row>
    <row r="39" spans="1:28" x14ac:dyDescent="0.2">
      <c r="A39" s="6"/>
      <c r="B39" s="6"/>
      <c r="C39" s="6"/>
      <c r="D39" s="6"/>
      <c r="E39" s="6"/>
      <c r="F39" s="6"/>
      <c r="G39" s="6"/>
      <c r="H39" s="6"/>
      <c r="I39" s="6"/>
      <c r="J39" s="6"/>
      <c r="K39" s="6"/>
      <c r="L39" s="6"/>
      <c r="M39" s="6"/>
      <c r="N39" s="6"/>
      <c r="O39" s="6"/>
      <c r="P39" s="6"/>
      <c r="Q39" s="6"/>
      <c r="R39" s="6"/>
      <c r="S39" s="6"/>
      <c r="T39" s="6"/>
      <c r="U39" s="6"/>
      <c r="V39" s="6"/>
      <c r="W39" s="6"/>
      <c r="X39" s="6"/>
      <c r="Y39" s="6"/>
      <c r="Z39" s="6"/>
      <c r="AA39" s="6"/>
      <c r="AB39" s="6"/>
    </row>
    <row r="40" spans="1:28" x14ac:dyDescent="0.2">
      <c r="A40" s="6"/>
      <c r="B40" s="6"/>
      <c r="C40" s="6"/>
      <c r="D40" s="6"/>
      <c r="E40" s="6"/>
      <c r="F40" s="6"/>
      <c r="G40" s="6"/>
      <c r="H40" s="6"/>
      <c r="I40" s="6"/>
      <c r="J40" s="6"/>
      <c r="K40" s="6"/>
      <c r="L40" s="6"/>
      <c r="M40" s="6"/>
      <c r="N40" s="6"/>
      <c r="O40" s="6"/>
      <c r="P40" s="6"/>
      <c r="Q40" s="6"/>
      <c r="R40" s="6"/>
      <c r="S40" s="6"/>
      <c r="T40" s="6"/>
      <c r="U40" s="6"/>
      <c r="V40" s="6"/>
      <c r="W40" s="6"/>
      <c r="X40" s="6"/>
      <c r="Y40" s="6"/>
      <c r="Z40" s="6"/>
      <c r="AA40" s="6"/>
      <c r="AB40" s="6"/>
    </row>
    <row r="41" spans="1:28" x14ac:dyDescent="0.2">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row>
    <row r="42" spans="1:28" x14ac:dyDescent="0.2">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row>
    <row r="43" spans="1:28" x14ac:dyDescent="0.2">
      <c r="A43" s="6"/>
      <c r="B43" s="6"/>
      <c r="C43" s="6"/>
      <c r="D43" s="6"/>
      <c r="E43" s="6"/>
      <c r="F43" s="6"/>
      <c r="G43" s="6"/>
      <c r="H43" s="6"/>
      <c r="I43" s="6"/>
      <c r="J43" s="6"/>
      <c r="K43" s="6"/>
      <c r="L43" s="6"/>
      <c r="M43" s="6"/>
      <c r="N43" s="6"/>
      <c r="O43" s="6"/>
      <c r="P43" s="6"/>
      <c r="Q43" s="6"/>
      <c r="R43" s="6"/>
      <c r="S43" s="6"/>
      <c r="T43" s="6"/>
      <c r="U43" s="6"/>
      <c r="V43" s="6"/>
      <c r="W43" s="6"/>
      <c r="X43" s="6"/>
      <c r="Y43" s="6"/>
      <c r="Z43" s="6"/>
      <c r="AA43" s="6"/>
      <c r="AB43" s="6"/>
    </row>
    <row r="44" spans="1:28" x14ac:dyDescent="0.2">
      <c r="A44" s="6"/>
      <c r="B44" s="6"/>
      <c r="C44" s="6"/>
      <c r="D44" s="6"/>
      <c r="E44" s="6"/>
      <c r="F44" s="6"/>
      <c r="G44" s="6"/>
      <c r="H44" s="6"/>
      <c r="I44" s="6"/>
      <c r="J44" s="6"/>
      <c r="K44" s="6"/>
      <c r="L44" s="6"/>
      <c r="M44" s="6"/>
      <c r="N44" s="6"/>
      <c r="O44" s="6"/>
      <c r="P44" s="6"/>
      <c r="Q44" s="6"/>
      <c r="R44" s="6"/>
      <c r="S44" s="6"/>
      <c r="T44" s="6"/>
      <c r="U44" s="6"/>
      <c r="V44" s="6"/>
      <c r="W44" s="6"/>
      <c r="X44" s="6"/>
      <c r="Y44" s="6"/>
      <c r="Z44" s="6"/>
      <c r="AA44" s="6"/>
      <c r="AB44" s="6"/>
    </row>
    <row r="45" spans="1:28" x14ac:dyDescent="0.2">
      <c r="A45" s="6"/>
      <c r="B45" s="6"/>
      <c r="C45" s="6"/>
      <c r="D45" s="6"/>
      <c r="E45" s="6"/>
      <c r="F45" s="6"/>
      <c r="G45" s="6"/>
      <c r="H45" s="6"/>
      <c r="I45" s="6"/>
      <c r="J45" s="6"/>
      <c r="K45" s="6"/>
      <c r="L45" s="6"/>
      <c r="M45" s="6"/>
      <c r="N45" s="6"/>
      <c r="O45" s="6"/>
      <c r="P45" s="6"/>
      <c r="Q45" s="6"/>
      <c r="R45" s="6"/>
      <c r="S45" s="6"/>
      <c r="T45" s="6"/>
      <c r="U45" s="6"/>
      <c r="V45" s="6"/>
      <c r="W45" s="6"/>
      <c r="X45" s="6"/>
      <c r="Y45" s="6"/>
      <c r="Z45" s="6"/>
      <c r="AA45" s="6"/>
      <c r="AB45" s="6"/>
    </row>
    <row r="46" spans="1:28" x14ac:dyDescent="0.2">
      <c r="A46" s="6"/>
      <c r="B46" s="6"/>
      <c r="C46" s="6"/>
      <c r="D46" s="6"/>
      <c r="E46" s="6"/>
      <c r="F46" s="6"/>
      <c r="G46" s="6"/>
      <c r="H46" s="6"/>
      <c r="I46" s="6"/>
      <c r="J46" s="6"/>
      <c r="K46" s="6"/>
      <c r="L46" s="6"/>
      <c r="M46" s="6"/>
      <c r="N46" s="6"/>
      <c r="O46" s="6"/>
      <c r="P46" s="6"/>
      <c r="Q46" s="6"/>
      <c r="R46" s="6"/>
      <c r="S46" s="6"/>
      <c r="T46" s="6"/>
      <c r="U46" s="6"/>
      <c r="V46" s="6"/>
      <c r="W46" s="6"/>
      <c r="X46" s="6"/>
      <c r="Y46" s="6"/>
      <c r="Z46" s="6"/>
      <c r="AA46" s="6"/>
      <c r="AB46" s="6"/>
    </row>
    <row r="47" spans="1:28" x14ac:dyDescent="0.2">
      <c r="A47" s="6"/>
      <c r="B47" s="6"/>
      <c r="C47" s="6"/>
      <c r="D47" s="6"/>
      <c r="E47" s="6"/>
      <c r="F47" s="6"/>
      <c r="G47" s="6"/>
      <c r="H47" s="6"/>
      <c r="I47" s="6"/>
      <c r="J47" s="6"/>
      <c r="K47" s="6"/>
      <c r="L47" s="6"/>
      <c r="M47" s="6"/>
      <c r="N47" s="6"/>
      <c r="O47" s="6"/>
      <c r="P47" s="6"/>
      <c r="Q47" s="6"/>
      <c r="R47" s="6"/>
      <c r="S47" s="6"/>
      <c r="T47" s="6"/>
      <c r="U47" s="6"/>
      <c r="V47" s="6"/>
      <c r="W47" s="6"/>
      <c r="X47" s="6"/>
      <c r="Y47" s="6"/>
      <c r="Z47" s="6"/>
      <c r="AA47" s="6"/>
      <c r="AB47" s="6"/>
    </row>
    <row r="48" spans="1:28" x14ac:dyDescent="0.2">
      <c r="A48" s="6"/>
      <c r="B48" s="6"/>
      <c r="C48" s="6"/>
      <c r="D48" s="6"/>
      <c r="E48" s="6"/>
      <c r="F48" s="6"/>
      <c r="G48" s="6"/>
      <c r="H48" s="6"/>
      <c r="I48" s="6"/>
      <c r="J48" s="6"/>
      <c r="K48" s="6"/>
      <c r="L48" s="6"/>
      <c r="M48" s="6"/>
      <c r="N48" s="6"/>
      <c r="O48" s="6"/>
      <c r="P48" s="6"/>
      <c r="Q48" s="6"/>
      <c r="R48" s="6"/>
      <c r="S48" s="6"/>
      <c r="T48" s="6"/>
      <c r="U48" s="6"/>
      <c r="V48" s="6"/>
      <c r="W48" s="6"/>
      <c r="X48" s="6"/>
      <c r="Y48" s="6"/>
      <c r="Z48" s="6"/>
      <c r="AA48" s="6"/>
      <c r="AB48" s="6"/>
    </row>
    <row r="49" spans="1:28" x14ac:dyDescent="0.2">
      <c r="A49" s="6"/>
      <c r="B49" s="6"/>
      <c r="C49" s="6"/>
      <c r="D49" s="6"/>
      <c r="E49" s="6"/>
      <c r="F49" s="6"/>
      <c r="G49" s="6"/>
      <c r="H49" s="6"/>
      <c r="I49" s="6"/>
      <c r="J49" s="6"/>
      <c r="K49" s="6"/>
      <c r="L49" s="6"/>
      <c r="M49" s="6"/>
      <c r="N49" s="6"/>
      <c r="O49" s="6"/>
      <c r="P49" s="6"/>
      <c r="Q49" s="6"/>
      <c r="R49" s="6"/>
      <c r="S49" s="6"/>
      <c r="T49" s="6"/>
      <c r="U49" s="6"/>
      <c r="V49" s="6"/>
      <c r="W49" s="6"/>
      <c r="X49" s="6"/>
      <c r="Y49" s="6"/>
      <c r="Z49" s="6"/>
      <c r="AA49" s="6"/>
      <c r="AB49" s="6"/>
    </row>
    <row r="50" spans="1:28" x14ac:dyDescent="0.2">
      <c r="A50" s="6"/>
      <c r="B50" s="6"/>
      <c r="C50" s="6"/>
      <c r="D50" s="6"/>
      <c r="E50" s="6"/>
      <c r="F50" s="6"/>
      <c r="G50" s="6"/>
      <c r="H50" s="6"/>
      <c r="I50" s="6"/>
      <c r="J50" s="6"/>
      <c r="K50" s="6"/>
      <c r="L50" s="6"/>
      <c r="M50" s="6"/>
      <c r="N50" s="6"/>
      <c r="O50" s="6"/>
      <c r="P50" s="6"/>
      <c r="Q50" s="6"/>
      <c r="R50" s="6"/>
      <c r="S50" s="6"/>
      <c r="T50" s="6"/>
      <c r="U50" s="6"/>
      <c r="V50" s="6"/>
      <c r="W50" s="6"/>
      <c r="X50" s="6"/>
      <c r="Y50" s="6"/>
      <c r="Z50" s="6"/>
      <c r="AA50" s="6"/>
      <c r="AB50" s="6"/>
    </row>
    <row r="51" spans="1:28" x14ac:dyDescent="0.2">
      <c r="D51" s="6"/>
      <c r="E51" s="6"/>
      <c r="F51" s="6"/>
      <c r="G51" s="6"/>
      <c r="H51" s="6"/>
      <c r="I51" s="6"/>
      <c r="J51" s="6"/>
      <c r="K51" s="6"/>
      <c r="L51" s="6"/>
      <c r="M51" s="6"/>
      <c r="N51" s="6"/>
      <c r="O51" s="6"/>
      <c r="P51" s="6"/>
      <c r="Q51" s="6"/>
      <c r="R51" s="6"/>
      <c r="S51" s="6"/>
      <c r="T51" s="6"/>
      <c r="U51" s="6"/>
      <c r="V51" s="6"/>
      <c r="W51" s="6"/>
      <c r="X51" s="6"/>
      <c r="Y51" s="6"/>
      <c r="Z51" s="6"/>
      <c r="AA51" s="6"/>
      <c r="AB51" s="6"/>
    </row>
    <row r="52" spans="1:28" x14ac:dyDescent="0.2">
      <c r="D52" s="6"/>
      <c r="E52" s="6"/>
      <c r="F52" s="6"/>
      <c r="G52" s="6"/>
      <c r="H52" s="6"/>
      <c r="I52" s="6"/>
      <c r="J52" s="6"/>
      <c r="K52" s="6"/>
      <c r="L52" s="6"/>
      <c r="M52" s="6"/>
      <c r="N52" s="6"/>
      <c r="O52" s="6"/>
      <c r="P52" s="6"/>
      <c r="Q52" s="6"/>
      <c r="R52" s="6"/>
      <c r="S52" s="6"/>
      <c r="T52" s="6"/>
      <c r="U52" s="6"/>
      <c r="V52" s="6"/>
      <c r="W52" s="6"/>
      <c r="X52" s="6"/>
      <c r="Y52" s="6"/>
      <c r="Z52" s="6"/>
      <c r="AA52" s="6"/>
      <c r="AB52" s="6"/>
    </row>
    <row r="53" spans="1:28" x14ac:dyDescent="0.2">
      <c r="D53" s="6"/>
      <c r="E53" s="6"/>
      <c r="F53" s="6"/>
      <c r="G53" s="6"/>
      <c r="H53" s="6"/>
      <c r="I53" s="6"/>
      <c r="J53" s="6"/>
      <c r="K53" s="6"/>
      <c r="L53" s="6"/>
      <c r="M53" s="6"/>
      <c r="N53" s="6"/>
      <c r="O53" s="6"/>
      <c r="P53" s="6"/>
      <c r="Q53" s="6"/>
      <c r="R53" s="6"/>
      <c r="S53" s="6"/>
      <c r="T53" s="6"/>
      <c r="U53" s="6"/>
      <c r="V53" s="6"/>
      <c r="W53" s="6"/>
      <c r="X53" s="6"/>
    </row>
  </sheetData>
  <conditionalFormatting sqref="E6:X6">
    <cfRule type="colorScale" priority="28">
      <colorScale>
        <cfvo type="min"/>
        <cfvo type="percentile" val="50"/>
        <cfvo type="max"/>
        <color rgb="FFF8696B"/>
        <color rgb="FFFCFCFF"/>
        <color rgb="FF63BE7B"/>
      </colorScale>
    </cfRule>
  </conditionalFormatting>
  <conditionalFormatting sqref="E7:X7">
    <cfRule type="colorScale" priority="27">
      <colorScale>
        <cfvo type="min"/>
        <cfvo type="percentile" val="50"/>
        <cfvo type="max"/>
        <color rgb="FFF8696B"/>
        <color rgb="FFFCFCFF"/>
        <color rgb="FF63BE7B"/>
      </colorScale>
    </cfRule>
  </conditionalFormatting>
  <conditionalFormatting sqref="E8:X8">
    <cfRule type="colorScale" priority="25">
      <colorScale>
        <cfvo type="min"/>
        <cfvo type="percentile" val="50"/>
        <cfvo type="max"/>
        <color rgb="FFF8696B"/>
        <color rgb="FFFCFCFF"/>
        <color rgb="FF63BE7B"/>
      </colorScale>
    </cfRule>
  </conditionalFormatting>
  <conditionalFormatting sqref="E9:X9">
    <cfRule type="colorScale" priority="24">
      <colorScale>
        <cfvo type="min"/>
        <cfvo type="percentile" val="50"/>
        <cfvo type="max"/>
        <color rgb="FFF8696B"/>
        <color rgb="FFFCFCFF"/>
        <color rgb="FF63BE7B"/>
      </colorScale>
    </cfRule>
  </conditionalFormatting>
  <conditionalFormatting sqref="E10:X10">
    <cfRule type="colorScale" priority="23">
      <colorScale>
        <cfvo type="min"/>
        <cfvo type="percentile" val="50"/>
        <cfvo type="max"/>
        <color rgb="FFF8696B"/>
        <color rgb="FFFCFCFF"/>
        <color rgb="FF63BE7B"/>
      </colorScale>
    </cfRule>
  </conditionalFormatting>
  <conditionalFormatting sqref="E11:X11">
    <cfRule type="colorScale" priority="22">
      <colorScale>
        <cfvo type="min"/>
        <cfvo type="percentile" val="50"/>
        <cfvo type="max"/>
        <color rgb="FFF8696B"/>
        <color rgb="FFFCFCFF"/>
        <color rgb="FF63BE7B"/>
      </colorScale>
    </cfRule>
  </conditionalFormatting>
  <conditionalFormatting sqref="E12:X12">
    <cfRule type="colorScale" priority="21">
      <colorScale>
        <cfvo type="min"/>
        <cfvo type="percentile" val="50"/>
        <cfvo type="max"/>
        <color rgb="FFF8696B"/>
        <color rgb="FFFCFCFF"/>
        <color rgb="FF63BE7B"/>
      </colorScale>
    </cfRule>
  </conditionalFormatting>
  <conditionalFormatting sqref="E13:X13">
    <cfRule type="colorScale" priority="20">
      <colorScale>
        <cfvo type="min"/>
        <cfvo type="percentile" val="50"/>
        <cfvo type="max"/>
        <color rgb="FFF8696B"/>
        <color rgb="FFFCFCFF"/>
        <color rgb="FF63BE7B"/>
      </colorScale>
    </cfRule>
  </conditionalFormatting>
  <conditionalFormatting sqref="E14:X14">
    <cfRule type="colorScale" priority="19">
      <colorScale>
        <cfvo type="min"/>
        <cfvo type="percentile" val="50"/>
        <cfvo type="max"/>
        <color rgb="FFF8696B"/>
        <color rgb="FFFCFCFF"/>
        <color rgb="FF63BE7B"/>
      </colorScale>
    </cfRule>
  </conditionalFormatting>
  <conditionalFormatting sqref="E15:X15">
    <cfRule type="colorScale" priority="18">
      <colorScale>
        <cfvo type="min"/>
        <cfvo type="percentile" val="50"/>
        <cfvo type="max"/>
        <color rgb="FFF8696B"/>
        <color rgb="FFFCFCFF"/>
        <color rgb="FF63BE7B"/>
      </colorScale>
    </cfRule>
  </conditionalFormatting>
  <conditionalFormatting sqref="E18:X18">
    <cfRule type="colorScale" priority="17">
      <colorScale>
        <cfvo type="min"/>
        <cfvo type="percentile" val="50"/>
        <cfvo type="max"/>
        <color rgb="FFF8696B"/>
        <color rgb="FFFCFCFF"/>
        <color rgb="FF63BE7B"/>
      </colorScale>
    </cfRule>
  </conditionalFormatting>
  <conditionalFormatting sqref="E19:X19">
    <cfRule type="colorScale" priority="16">
      <colorScale>
        <cfvo type="min"/>
        <cfvo type="percentile" val="50"/>
        <cfvo type="max"/>
        <color rgb="FF63BE7B"/>
        <color rgb="FFFCFCFF"/>
        <color rgb="FFF8696B"/>
      </colorScale>
    </cfRule>
  </conditionalFormatting>
  <conditionalFormatting sqref="E20:X20">
    <cfRule type="colorScale" priority="15">
      <colorScale>
        <cfvo type="min"/>
        <cfvo type="percentile" val="50"/>
        <cfvo type="max"/>
        <color rgb="FFF8696B"/>
        <color rgb="FFFCFCFF"/>
        <color rgb="FF63BE7B"/>
      </colorScale>
    </cfRule>
  </conditionalFormatting>
  <conditionalFormatting sqref="E21:X21">
    <cfRule type="colorScale" priority="14">
      <colorScale>
        <cfvo type="min"/>
        <cfvo type="percentile" val="50"/>
        <cfvo type="max"/>
        <color rgb="FFF8696B"/>
        <color rgb="FFFCFCFF"/>
        <color rgb="FF63BE7B"/>
      </colorScale>
    </cfRule>
  </conditionalFormatting>
  <conditionalFormatting sqref="E22:X23">
    <cfRule type="colorScale" priority="13">
      <colorScale>
        <cfvo type="min"/>
        <cfvo type="percentile" val="50"/>
        <cfvo type="max"/>
        <color rgb="FFF8696B"/>
        <color rgb="FFFCFCFF"/>
        <color rgb="FF63BE7B"/>
      </colorScale>
    </cfRule>
  </conditionalFormatting>
  <conditionalFormatting sqref="E25:X25">
    <cfRule type="colorScale" priority="12">
      <colorScale>
        <cfvo type="min"/>
        <cfvo type="percentile" val="50"/>
        <cfvo type="max"/>
        <color rgb="FFF8696B"/>
        <color rgb="FFFCFCFF"/>
        <color rgb="FF63BE7B"/>
      </colorScale>
    </cfRule>
  </conditionalFormatting>
  <conditionalFormatting sqref="E26:X26">
    <cfRule type="colorScale" priority="11">
      <colorScale>
        <cfvo type="min"/>
        <cfvo type="percentile" val="50"/>
        <cfvo type="max"/>
        <color rgb="FFF8696B"/>
        <color rgb="FFFCFCFF"/>
        <color rgb="FF63BE7B"/>
      </colorScale>
    </cfRule>
  </conditionalFormatting>
  <conditionalFormatting sqref="E28:X28">
    <cfRule type="colorScale" priority="10">
      <colorScale>
        <cfvo type="min"/>
        <cfvo type="percentile" val="50"/>
        <cfvo type="max"/>
        <color rgb="FFF8696B"/>
        <color rgb="FFFCFCFF"/>
        <color rgb="FF63BE7B"/>
      </colorScale>
    </cfRule>
  </conditionalFormatting>
  <conditionalFormatting sqref="E29:X29">
    <cfRule type="colorScale" priority="9">
      <colorScale>
        <cfvo type="min"/>
        <cfvo type="percentile" val="50"/>
        <cfvo type="max"/>
        <color rgb="FFF8696B"/>
        <color rgb="FFFCFCFF"/>
        <color rgb="FF63BE7B"/>
      </colorScale>
    </cfRule>
  </conditionalFormatting>
  <conditionalFormatting sqref="E30:X30">
    <cfRule type="colorScale" priority="8">
      <colorScale>
        <cfvo type="min"/>
        <cfvo type="percentile" val="50"/>
        <cfvo type="max"/>
        <color rgb="FFF8696B"/>
        <color rgb="FFFCFCFF"/>
        <color rgb="FF63BE7B"/>
      </colorScale>
    </cfRule>
  </conditionalFormatting>
  <conditionalFormatting sqref="E32:X32">
    <cfRule type="colorScale" priority="7">
      <colorScale>
        <cfvo type="min"/>
        <cfvo type="percentile" val="50"/>
        <cfvo type="max"/>
        <color rgb="FFF8696B"/>
        <color rgb="FFFCFCFF"/>
        <color rgb="FF63BE7B"/>
      </colorScale>
    </cfRule>
  </conditionalFormatting>
  <conditionalFormatting sqref="E33:X33">
    <cfRule type="colorScale" priority="6">
      <colorScale>
        <cfvo type="min"/>
        <cfvo type="percentile" val="50"/>
        <cfvo type="max"/>
        <color rgb="FFF8696B"/>
        <color rgb="FFFCFCFF"/>
        <color rgb="FF63BE7B"/>
      </colorScale>
    </cfRule>
  </conditionalFormatting>
  <conditionalFormatting sqref="E34:X34">
    <cfRule type="colorScale" priority="5">
      <colorScale>
        <cfvo type="min"/>
        <cfvo type="percentile" val="50"/>
        <cfvo type="max"/>
        <color rgb="FFF8696B"/>
        <color rgb="FFFCFCFF"/>
        <color rgb="FF63BE7B"/>
      </colorScale>
    </cfRule>
  </conditionalFormatting>
  <conditionalFormatting sqref="E35:X36">
    <cfRule type="colorScale" priority="4">
      <colorScale>
        <cfvo type="min"/>
        <cfvo type="percentile" val="50"/>
        <cfvo type="max"/>
        <color rgb="FFF8696B"/>
        <color rgb="FFFCFCFF"/>
        <color rgb="FF63BE7B"/>
      </colorScale>
    </cfRule>
  </conditionalFormatting>
  <conditionalFormatting sqref="E23:X23">
    <cfRule type="colorScale" priority="3">
      <colorScale>
        <cfvo type="min"/>
        <cfvo type="percentile" val="50"/>
        <cfvo type="max"/>
        <color rgb="FFF8696B"/>
        <color rgb="FFFCFCFF"/>
        <color rgb="FF63BE7B"/>
      </colorScale>
    </cfRule>
  </conditionalFormatting>
  <conditionalFormatting sqref="E22:X22">
    <cfRule type="colorScale" priority="2">
      <colorScale>
        <cfvo type="min"/>
        <cfvo type="percentile" val="50"/>
        <cfvo type="max"/>
        <color rgb="FFF8696B"/>
        <color rgb="FFFCFCFF"/>
        <color rgb="FF63BE7B"/>
      </colorScale>
    </cfRule>
  </conditionalFormatting>
  <conditionalFormatting sqref="E16:X16">
    <cfRule type="colorScale" priority="1">
      <colorScale>
        <cfvo type="min"/>
        <cfvo type="percentile" val="50"/>
        <cfvo type="max"/>
        <color rgb="FFF8696B"/>
        <color rgb="FFFCFCFF"/>
        <color rgb="FF63BE7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EABA1A-F04C-7C48-A8DC-4A89ED4044A4}">
  <sheetPr codeName="Sheet5">
    <tabColor theme="2" tint="-0.249977111117893"/>
  </sheetPr>
  <dimension ref="A5:L125"/>
  <sheetViews>
    <sheetView topLeftCell="A17" zoomScale="117" workbookViewId="0">
      <selection activeCell="A40" sqref="A40"/>
    </sheetView>
  </sheetViews>
  <sheetFormatPr baseColWidth="10" defaultRowHeight="16" x14ac:dyDescent="0.2"/>
  <cols>
    <col min="1" max="1" width="26" bestFit="1" customWidth="1"/>
    <col min="2" max="2" width="8.83203125" bestFit="1" customWidth="1"/>
    <col min="4" max="5" width="15.33203125" bestFit="1" customWidth="1"/>
    <col min="6" max="6" width="9.5" bestFit="1" customWidth="1"/>
    <col min="7" max="8" width="8.5" bestFit="1" customWidth="1"/>
    <col min="9" max="9" width="9.5" bestFit="1" customWidth="1"/>
    <col min="10" max="14" width="8.5" bestFit="1" customWidth="1"/>
    <col min="15" max="15" width="7.83203125" bestFit="1" customWidth="1"/>
    <col min="16" max="17" width="8.5" bestFit="1" customWidth="1"/>
    <col min="18" max="18" width="7.83203125" bestFit="1" customWidth="1"/>
  </cols>
  <sheetData>
    <row r="5" spans="1:10" ht="17" x14ac:dyDescent="0.2">
      <c r="A5" s="12" t="s">
        <v>45</v>
      </c>
      <c r="B5" s="3" t="s">
        <v>538</v>
      </c>
      <c r="D5" s="1" t="s">
        <v>75</v>
      </c>
      <c r="E5" s="1" t="s">
        <v>76</v>
      </c>
      <c r="F5" s="1" t="s">
        <v>77</v>
      </c>
      <c r="G5" s="1" t="s">
        <v>78</v>
      </c>
      <c r="H5" s="1" t="s">
        <v>79</v>
      </c>
    </row>
    <row r="6" spans="1:10" x14ac:dyDescent="0.2">
      <c r="A6" s="3" t="s">
        <v>9</v>
      </c>
      <c r="B6" s="3" t="s">
        <v>539</v>
      </c>
      <c r="D6" s="3" t="s">
        <v>80</v>
      </c>
      <c r="E6" s="19">
        <v>57</v>
      </c>
      <c r="F6" s="17">
        <v>469.27</v>
      </c>
      <c r="G6" s="19">
        <v>515</v>
      </c>
      <c r="H6" s="19">
        <v>680</v>
      </c>
    </row>
    <row r="7" spans="1:10" x14ac:dyDescent="0.2">
      <c r="D7" s="3" t="s">
        <v>81</v>
      </c>
      <c r="E7" s="5">
        <v>-0.85570000000000002</v>
      </c>
      <c r="F7" s="5">
        <v>0.18790000000000001</v>
      </c>
      <c r="G7" s="5">
        <v>0.30370000000000003</v>
      </c>
      <c r="H7" s="5">
        <v>0.72130000000000005</v>
      </c>
    </row>
    <row r="8" spans="1:10" x14ac:dyDescent="0.2">
      <c r="A8" s="3" t="s">
        <v>437</v>
      </c>
      <c r="B8" s="16">
        <v>45869</v>
      </c>
    </row>
    <row r="9" spans="1:10" x14ac:dyDescent="0.2">
      <c r="A9" s="3" t="s">
        <v>438</v>
      </c>
      <c r="B9" s="3" t="s">
        <v>46</v>
      </c>
      <c r="D9" s="1" t="s">
        <v>82</v>
      </c>
      <c r="E9" s="1" t="s">
        <v>522</v>
      </c>
      <c r="F9" s="1" t="s">
        <v>523</v>
      </c>
      <c r="G9" s="1" t="s">
        <v>524</v>
      </c>
      <c r="H9" s="1" t="s">
        <v>525</v>
      </c>
      <c r="I9" s="1" t="s">
        <v>526</v>
      </c>
      <c r="J9" s="1" t="s">
        <v>527</v>
      </c>
    </row>
    <row r="10" spans="1:10" x14ac:dyDescent="0.2">
      <c r="D10" s="3" t="s">
        <v>72</v>
      </c>
      <c r="E10" s="3">
        <v>5</v>
      </c>
      <c r="F10" s="3">
        <v>5</v>
      </c>
      <c r="G10" s="3">
        <v>6</v>
      </c>
      <c r="H10" s="3">
        <v>6</v>
      </c>
      <c r="I10" s="3">
        <v>6</v>
      </c>
      <c r="J10" s="3">
        <v>6</v>
      </c>
    </row>
    <row r="11" spans="1:10" x14ac:dyDescent="0.2">
      <c r="A11" s="3" t="s">
        <v>439</v>
      </c>
      <c r="B11" s="3" t="s">
        <v>540</v>
      </c>
      <c r="D11" s="3" t="s">
        <v>71</v>
      </c>
      <c r="E11" s="3">
        <v>5</v>
      </c>
      <c r="F11" s="3">
        <v>5</v>
      </c>
      <c r="G11" s="3">
        <v>5</v>
      </c>
      <c r="H11" s="3">
        <v>5</v>
      </c>
      <c r="I11" s="3">
        <v>5</v>
      </c>
      <c r="J11" s="3">
        <v>5</v>
      </c>
    </row>
    <row r="12" spans="1:10" x14ac:dyDescent="0.2">
      <c r="A12" s="3" t="s">
        <v>440</v>
      </c>
      <c r="B12" s="3" t="s">
        <v>541</v>
      </c>
      <c r="D12" s="3" t="s">
        <v>74</v>
      </c>
      <c r="E12" s="3">
        <v>0</v>
      </c>
      <c r="F12" s="3">
        <v>0</v>
      </c>
      <c r="G12" s="3">
        <v>0</v>
      </c>
      <c r="H12" s="3">
        <v>0</v>
      </c>
      <c r="I12" s="3">
        <v>0</v>
      </c>
      <c r="J12" s="3">
        <v>0</v>
      </c>
    </row>
    <row r="13" spans="1:10" x14ac:dyDescent="0.2">
      <c r="A13" s="3" t="s">
        <v>193</v>
      </c>
      <c r="B13" s="5">
        <v>0.42349999999999999</v>
      </c>
      <c r="D13" s="3" t="s">
        <v>73</v>
      </c>
      <c r="E13" s="3">
        <v>0</v>
      </c>
      <c r="F13" s="3">
        <v>0</v>
      </c>
      <c r="G13" s="3">
        <v>0</v>
      </c>
      <c r="H13" s="3">
        <v>0</v>
      </c>
      <c r="I13" s="3">
        <v>0</v>
      </c>
      <c r="J13" s="3">
        <v>0</v>
      </c>
    </row>
    <row r="14" spans="1:10" x14ac:dyDescent="0.2">
      <c r="A14" s="3" t="s">
        <v>441</v>
      </c>
      <c r="B14" s="5">
        <v>0.1573</v>
      </c>
      <c r="D14" s="3" t="s">
        <v>83</v>
      </c>
      <c r="E14" s="3">
        <v>0</v>
      </c>
      <c r="F14" s="3">
        <v>0</v>
      </c>
      <c r="G14" s="3">
        <v>0</v>
      </c>
      <c r="H14" s="3">
        <v>0</v>
      </c>
      <c r="I14" s="3">
        <v>0</v>
      </c>
      <c r="J14" s="3">
        <v>0</v>
      </c>
    </row>
    <row r="15" spans="1:10" x14ac:dyDescent="0.2">
      <c r="A15" s="3" t="s">
        <v>442</v>
      </c>
      <c r="B15" s="5">
        <v>7.0999999999999994E-2</v>
      </c>
      <c r="D15" s="3" t="s">
        <v>84</v>
      </c>
      <c r="E15" s="3">
        <v>10</v>
      </c>
      <c r="F15" s="3">
        <v>10</v>
      </c>
      <c r="G15" s="3">
        <v>11</v>
      </c>
      <c r="H15" s="3">
        <v>11</v>
      </c>
      <c r="I15" s="3">
        <v>11</v>
      </c>
      <c r="J15" s="3">
        <v>11</v>
      </c>
    </row>
    <row r="16" spans="1:10" x14ac:dyDescent="0.2">
      <c r="A16" s="3" t="s">
        <v>443</v>
      </c>
      <c r="B16" s="5">
        <v>0.43490000000000001</v>
      </c>
    </row>
    <row r="17" spans="1:11" x14ac:dyDescent="0.2">
      <c r="A17" s="3" t="s">
        <v>444</v>
      </c>
      <c r="B17" s="3" t="s">
        <v>542</v>
      </c>
      <c r="D17" s="1" t="s">
        <v>85</v>
      </c>
      <c r="E17" s="1" t="s">
        <v>86</v>
      </c>
      <c r="F17" s="1" t="s">
        <v>82</v>
      </c>
      <c r="G17" s="1" t="s">
        <v>82</v>
      </c>
      <c r="H17" s="1" t="s">
        <v>87</v>
      </c>
      <c r="I17" s="1" t="s">
        <v>59</v>
      </c>
      <c r="J17" s="1" t="s">
        <v>88</v>
      </c>
      <c r="K17" s="1" t="s">
        <v>89</v>
      </c>
    </row>
    <row r="18" spans="1:11" ht="17" x14ac:dyDescent="0.2">
      <c r="D18" s="12" t="s">
        <v>560</v>
      </c>
      <c r="E18" s="76" t="s">
        <v>561</v>
      </c>
      <c r="F18" s="3" t="s">
        <v>71</v>
      </c>
      <c r="G18" s="76" t="s">
        <v>71</v>
      </c>
      <c r="H18" s="76" t="s">
        <v>528</v>
      </c>
      <c r="I18" s="76" t="s">
        <v>562</v>
      </c>
      <c r="J18" s="77">
        <v>0.72130000000000005</v>
      </c>
      <c r="K18" s="75">
        <v>45866</v>
      </c>
    </row>
    <row r="19" spans="1:11" x14ac:dyDescent="0.2">
      <c r="A19" s="3" t="s">
        <v>19</v>
      </c>
      <c r="B19" s="3" t="s">
        <v>46</v>
      </c>
      <c r="D19" s="3" t="s">
        <v>561</v>
      </c>
      <c r="E19" s="76"/>
      <c r="F19" s="3" t="s">
        <v>528</v>
      </c>
      <c r="G19" s="76"/>
      <c r="H19" s="76"/>
      <c r="I19" s="76"/>
      <c r="J19" s="77"/>
      <c r="K19" s="75"/>
    </row>
    <row r="20" spans="1:11" x14ac:dyDescent="0.2">
      <c r="A20" s="3" t="s">
        <v>48</v>
      </c>
      <c r="B20" s="3" t="s">
        <v>46</v>
      </c>
      <c r="D20" s="2"/>
      <c r="E20" s="76"/>
      <c r="F20" s="3" t="s">
        <v>562</v>
      </c>
      <c r="G20" s="76"/>
      <c r="H20" s="76"/>
      <c r="I20" s="76"/>
      <c r="J20" s="77"/>
      <c r="K20" s="75"/>
    </row>
    <row r="21" spans="1:11" ht="17" x14ac:dyDescent="0.2">
      <c r="A21" s="3" t="s">
        <v>20</v>
      </c>
      <c r="B21" s="3">
        <v>183.62</v>
      </c>
      <c r="D21" s="12" t="s">
        <v>563</v>
      </c>
      <c r="E21" s="76" t="s">
        <v>564</v>
      </c>
      <c r="F21" s="3" t="s">
        <v>72</v>
      </c>
      <c r="G21" s="76" t="s">
        <v>72</v>
      </c>
      <c r="H21" s="76" t="s">
        <v>528</v>
      </c>
      <c r="I21" s="76" t="s">
        <v>565</v>
      </c>
      <c r="J21" s="77">
        <v>0.72130000000000005</v>
      </c>
      <c r="K21" s="75">
        <v>45853</v>
      </c>
    </row>
    <row r="22" spans="1:11" x14ac:dyDescent="0.2">
      <c r="A22" s="3" t="s">
        <v>49</v>
      </c>
      <c r="B22" s="3">
        <v>236.59</v>
      </c>
      <c r="D22" s="3" t="s">
        <v>564</v>
      </c>
      <c r="E22" s="76"/>
      <c r="F22" s="3" t="s">
        <v>528</v>
      </c>
      <c r="G22" s="76"/>
      <c r="H22" s="76"/>
      <c r="I22" s="76"/>
      <c r="J22" s="77"/>
      <c r="K22" s="75"/>
    </row>
    <row r="23" spans="1:11" x14ac:dyDescent="0.2">
      <c r="A23" s="3" t="s">
        <v>21</v>
      </c>
      <c r="B23" s="3">
        <v>3.26</v>
      </c>
      <c r="D23" s="2"/>
      <c r="E23" s="76"/>
      <c r="F23" s="3" t="s">
        <v>565</v>
      </c>
      <c r="G23" s="76"/>
      <c r="H23" s="76"/>
      <c r="I23" s="76"/>
      <c r="J23" s="77"/>
      <c r="K23" s="75"/>
    </row>
    <row r="24" spans="1:11" ht="17" x14ac:dyDescent="0.2">
      <c r="A24" s="3" t="s">
        <v>402</v>
      </c>
      <c r="B24" s="3">
        <v>3.47</v>
      </c>
      <c r="D24" s="12" t="s">
        <v>566</v>
      </c>
      <c r="E24" s="76" t="s">
        <v>567</v>
      </c>
      <c r="F24" s="3" t="s">
        <v>71</v>
      </c>
      <c r="G24" s="76" t="s">
        <v>71</v>
      </c>
      <c r="H24" s="76" t="s">
        <v>528</v>
      </c>
      <c r="I24" s="76" t="s">
        <v>568</v>
      </c>
      <c r="J24" s="77">
        <v>0.2024</v>
      </c>
      <c r="K24" s="75">
        <v>45782</v>
      </c>
    </row>
    <row r="25" spans="1:11" x14ac:dyDescent="0.2">
      <c r="A25" s="3" t="s">
        <v>22</v>
      </c>
      <c r="B25" s="3" t="s">
        <v>46</v>
      </c>
      <c r="D25" s="3" t="s">
        <v>567</v>
      </c>
      <c r="E25" s="76"/>
      <c r="F25" s="3" t="s">
        <v>528</v>
      </c>
      <c r="G25" s="76"/>
      <c r="H25" s="76"/>
      <c r="I25" s="76"/>
      <c r="J25" s="77"/>
      <c r="K25" s="75"/>
    </row>
    <row r="26" spans="1:11" x14ac:dyDescent="0.2">
      <c r="A26" s="3" t="s">
        <v>23</v>
      </c>
      <c r="B26" s="3" t="s">
        <v>46</v>
      </c>
      <c r="D26" s="2"/>
      <c r="E26" s="76"/>
      <c r="F26" s="3" t="s">
        <v>568</v>
      </c>
      <c r="G26" s="76"/>
      <c r="H26" s="76"/>
      <c r="I26" s="76"/>
      <c r="J26" s="77"/>
      <c r="K26" s="75"/>
    </row>
    <row r="27" spans="1:11" ht="17" x14ac:dyDescent="0.2">
      <c r="A27" s="3" t="s">
        <v>434</v>
      </c>
      <c r="B27" s="3" t="s">
        <v>46</v>
      </c>
      <c r="D27" s="12" t="s">
        <v>560</v>
      </c>
      <c r="E27" s="76" t="s">
        <v>561</v>
      </c>
      <c r="F27" s="3" t="s">
        <v>71</v>
      </c>
      <c r="G27" s="76" t="s">
        <v>71</v>
      </c>
      <c r="H27" s="76" t="s">
        <v>528</v>
      </c>
      <c r="I27" s="76" t="s">
        <v>569</v>
      </c>
      <c r="J27" s="77">
        <v>0.55430000000000001</v>
      </c>
      <c r="K27" s="75">
        <v>45782</v>
      </c>
    </row>
    <row r="28" spans="1:11" x14ac:dyDescent="0.2">
      <c r="D28" s="3" t="s">
        <v>561</v>
      </c>
      <c r="E28" s="76"/>
      <c r="F28" s="3" t="s">
        <v>528</v>
      </c>
      <c r="G28" s="76"/>
      <c r="H28" s="76"/>
      <c r="I28" s="76"/>
      <c r="J28" s="77"/>
      <c r="K28" s="75"/>
    </row>
    <row r="29" spans="1:11" x14ac:dyDescent="0.2">
      <c r="A29" s="3" t="s">
        <v>50</v>
      </c>
      <c r="B29" s="3" t="s">
        <v>46</v>
      </c>
      <c r="D29" s="2"/>
      <c r="E29" s="76"/>
      <c r="F29" s="3" t="s">
        <v>569</v>
      </c>
      <c r="G29" s="76"/>
      <c r="H29" s="76"/>
      <c r="I29" s="76"/>
      <c r="J29" s="77"/>
      <c r="K29" s="75"/>
    </row>
    <row r="30" spans="1:11" ht="17" x14ac:dyDescent="0.2">
      <c r="A30" s="3" t="s">
        <v>51</v>
      </c>
      <c r="B30" s="3">
        <v>261.23</v>
      </c>
      <c r="D30" s="12" t="s">
        <v>570</v>
      </c>
      <c r="E30" s="76" t="s">
        <v>571</v>
      </c>
      <c r="F30" s="3" t="s">
        <v>72</v>
      </c>
      <c r="G30" s="76" t="s">
        <v>72</v>
      </c>
      <c r="H30" s="76" t="s">
        <v>528</v>
      </c>
      <c r="I30" s="76" t="s">
        <v>572</v>
      </c>
      <c r="J30" s="77">
        <v>0.31890000000000002</v>
      </c>
      <c r="K30" s="75">
        <v>45779</v>
      </c>
    </row>
    <row r="31" spans="1:11" x14ac:dyDescent="0.2">
      <c r="A31" s="3" t="s">
        <v>52</v>
      </c>
      <c r="B31" s="3" t="s">
        <v>46</v>
      </c>
      <c r="D31" s="3" t="s">
        <v>571</v>
      </c>
      <c r="E31" s="76"/>
      <c r="F31" s="3" t="s">
        <v>528</v>
      </c>
      <c r="G31" s="76"/>
      <c r="H31" s="76"/>
      <c r="I31" s="76"/>
      <c r="J31" s="77"/>
      <c r="K31" s="75"/>
    </row>
    <row r="32" spans="1:11" x14ac:dyDescent="0.2">
      <c r="A32" s="3" t="s">
        <v>53</v>
      </c>
      <c r="B32" s="3" t="s">
        <v>46</v>
      </c>
      <c r="D32" s="2"/>
      <c r="E32" s="76"/>
      <c r="F32" s="3" t="s">
        <v>572</v>
      </c>
      <c r="G32" s="76"/>
      <c r="H32" s="76"/>
      <c r="I32" s="76"/>
      <c r="J32" s="77"/>
      <c r="K32" s="75"/>
    </row>
    <row r="33" spans="1:12" x14ac:dyDescent="0.2">
      <c r="A33" s="3" t="s">
        <v>54</v>
      </c>
      <c r="B33" s="3" t="s">
        <v>46</v>
      </c>
    </row>
    <row r="34" spans="1:12" x14ac:dyDescent="0.2">
      <c r="D34" s="1" t="s">
        <v>90</v>
      </c>
      <c r="E34" s="1" t="s">
        <v>504</v>
      </c>
      <c r="F34" s="1" t="s">
        <v>91</v>
      </c>
      <c r="G34" s="1" t="s">
        <v>92</v>
      </c>
      <c r="H34" s="1" t="s">
        <v>93</v>
      </c>
      <c r="I34" s="1" t="s">
        <v>94</v>
      </c>
      <c r="J34" s="1" t="s">
        <v>407</v>
      </c>
      <c r="K34" s="1" t="s">
        <v>529</v>
      </c>
      <c r="L34" s="1" t="s">
        <v>530</v>
      </c>
    </row>
    <row r="35" spans="1:12" x14ac:dyDescent="0.2">
      <c r="A35" s="3" t="s">
        <v>5</v>
      </c>
      <c r="B35" s="3">
        <v>0.66</v>
      </c>
      <c r="D35" s="1" t="s">
        <v>10</v>
      </c>
      <c r="E35" s="20">
        <v>44196</v>
      </c>
      <c r="F35" s="20">
        <v>44561</v>
      </c>
      <c r="G35" s="20">
        <v>44926</v>
      </c>
      <c r="H35" s="20">
        <v>45291</v>
      </c>
      <c r="I35" s="20">
        <v>45657</v>
      </c>
      <c r="J35" s="20">
        <v>46022</v>
      </c>
      <c r="K35" s="20">
        <v>46387</v>
      </c>
      <c r="L35" s="20">
        <v>46752</v>
      </c>
    </row>
    <row r="36" spans="1:12" x14ac:dyDescent="0.2">
      <c r="A36" s="3" t="s">
        <v>8</v>
      </c>
      <c r="B36" s="3">
        <v>0.54</v>
      </c>
      <c r="D36" s="3" t="s">
        <v>32</v>
      </c>
      <c r="E36" s="3" t="s">
        <v>573</v>
      </c>
      <c r="F36" s="3" t="s">
        <v>574</v>
      </c>
      <c r="G36" s="3" t="s">
        <v>575</v>
      </c>
      <c r="H36" s="3" t="s">
        <v>576</v>
      </c>
      <c r="I36" s="3" t="s">
        <v>577</v>
      </c>
      <c r="J36" s="3" t="s">
        <v>578</v>
      </c>
      <c r="K36" s="3" t="s">
        <v>579</v>
      </c>
      <c r="L36" s="3" t="s">
        <v>580</v>
      </c>
    </row>
    <row r="37" spans="1:12" x14ac:dyDescent="0.2">
      <c r="A37" s="3" t="s">
        <v>55</v>
      </c>
      <c r="B37" s="3">
        <v>0.24</v>
      </c>
      <c r="D37" s="3" t="s">
        <v>95</v>
      </c>
      <c r="E37" s="5">
        <v>-1.15E-2</v>
      </c>
      <c r="F37" s="5">
        <v>6.25E-2</v>
      </c>
      <c r="G37" s="5">
        <v>-2.2499999999999999E-2</v>
      </c>
      <c r="H37" s="5">
        <v>-6.0000000000000001E-3</v>
      </c>
      <c r="I37" s="5">
        <v>-6.6100000000000006E-2</v>
      </c>
      <c r="J37" s="5">
        <v>1.77E-2</v>
      </c>
      <c r="K37" s="5">
        <v>3.4299999999999997E-2</v>
      </c>
      <c r="L37" s="5">
        <v>5.8500000000000003E-2</v>
      </c>
    </row>
    <row r="38" spans="1:12" x14ac:dyDescent="0.2">
      <c r="A38" s="3" t="s">
        <v>56</v>
      </c>
      <c r="B38" s="3" t="s">
        <v>46</v>
      </c>
      <c r="D38" s="3" t="s">
        <v>96</v>
      </c>
      <c r="E38" s="3">
        <v>-0.08</v>
      </c>
      <c r="F38" s="3">
        <v>-5.34</v>
      </c>
      <c r="G38" s="3">
        <v>-12.98</v>
      </c>
      <c r="H38" s="3">
        <v>2.64</v>
      </c>
      <c r="I38" s="3">
        <v>-6.06</v>
      </c>
      <c r="J38" s="3">
        <v>-16.45</v>
      </c>
      <c r="K38" s="3">
        <v>-0.41</v>
      </c>
      <c r="L38" s="3">
        <v>4.29</v>
      </c>
    </row>
    <row r="39" spans="1:12" x14ac:dyDescent="0.2">
      <c r="A39" s="3" t="s">
        <v>57</v>
      </c>
      <c r="B39" s="3" t="s">
        <v>46</v>
      </c>
      <c r="D39" s="3" t="s">
        <v>66</v>
      </c>
      <c r="E39" s="3" t="s">
        <v>12</v>
      </c>
      <c r="F39" s="3" t="s">
        <v>12</v>
      </c>
      <c r="G39" s="3" t="s">
        <v>12</v>
      </c>
      <c r="H39" s="3" t="s">
        <v>12</v>
      </c>
      <c r="I39" s="3" t="s">
        <v>12</v>
      </c>
      <c r="J39" s="3" t="s">
        <v>12</v>
      </c>
      <c r="K39" s="3" t="s">
        <v>12</v>
      </c>
      <c r="L39" s="3" t="s">
        <v>12</v>
      </c>
    </row>
    <row r="40" spans="1:12" x14ac:dyDescent="0.2">
      <c r="A40" s="3" t="s">
        <v>58</v>
      </c>
      <c r="B40" s="3">
        <v>-112.72</v>
      </c>
      <c r="D40" s="3" t="s">
        <v>48</v>
      </c>
      <c r="E40" s="3" t="s">
        <v>12</v>
      </c>
      <c r="F40" s="3" t="s">
        <v>12</v>
      </c>
      <c r="G40" s="3" t="s">
        <v>12</v>
      </c>
      <c r="H40" s="3" t="s">
        <v>12</v>
      </c>
      <c r="I40" s="3" t="s">
        <v>12</v>
      </c>
      <c r="J40" s="3" t="s">
        <v>12</v>
      </c>
      <c r="K40" s="3" t="s">
        <v>12</v>
      </c>
      <c r="L40" s="3">
        <v>92.07</v>
      </c>
    </row>
    <row r="41" spans="1:12" x14ac:dyDescent="0.2">
      <c r="D41" s="3" t="s">
        <v>97</v>
      </c>
      <c r="E41" s="3" t="s">
        <v>12</v>
      </c>
      <c r="F41" s="3" t="s">
        <v>12</v>
      </c>
      <c r="G41" s="3" t="s">
        <v>12</v>
      </c>
      <c r="H41" s="3" t="s">
        <v>12</v>
      </c>
      <c r="I41" s="3" t="s">
        <v>12</v>
      </c>
      <c r="J41" s="3">
        <v>11</v>
      </c>
      <c r="K41" s="3">
        <v>11</v>
      </c>
      <c r="L41" s="3">
        <v>5</v>
      </c>
    </row>
    <row r="42" spans="1:12" x14ac:dyDescent="0.2">
      <c r="A42" s="3" t="s">
        <v>26</v>
      </c>
      <c r="B42" s="5">
        <v>-0.29680000000000001</v>
      </c>
    </row>
    <row r="43" spans="1:12" x14ac:dyDescent="0.2">
      <c r="A43" s="3" t="s">
        <v>27</v>
      </c>
      <c r="B43" s="5">
        <v>-0.18820000000000001</v>
      </c>
      <c r="D43" s="1" t="s">
        <v>32</v>
      </c>
      <c r="E43" s="1">
        <v>2025</v>
      </c>
      <c r="F43" s="1">
        <v>2026</v>
      </c>
      <c r="G43" s="1">
        <v>2027</v>
      </c>
    </row>
    <row r="44" spans="1:12" x14ac:dyDescent="0.2">
      <c r="A44" s="3" t="s">
        <v>445</v>
      </c>
      <c r="B44" s="5">
        <v>-0.19819999999999999</v>
      </c>
      <c r="D44" s="3" t="s">
        <v>79</v>
      </c>
      <c r="E44" s="3" t="s">
        <v>581</v>
      </c>
      <c r="F44" s="3" t="s">
        <v>582</v>
      </c>
      <c r="G44" s="3" t="s">
        <v>583</v>
      </c>
    </row>
    <row r="45" spans="1:12" x14ac:dyDescent="0.2">
      <c r="A45" s="3" t="s">
        <v>29</v>
      </c>
      <c r="B45" s="5">
        <v>-0.1736</v>
      </c>
      <c r="D45" s="3" t="s">
        <v>98</v>
      </c>
      <c r="E45" s="3" t="s">
        <v>584</v>
      </c>
      <c r="F45" s="3" t="s">
        <v>585</v>
      </c>
      <c r="G45" s="3" t="s">
        <v>586</v>
      </c>
    </row>
    <row r="46" spans="1:12" x14ac:dyDescent="0.2">
      <c r="A46" s="3" t="s">
        <v>446</v>
      </c>
      <c r="B46" s="19">
        <v>299398</v>
      </c>
      <c r="D46" s="3" t="s">
        <v>76</v>
      </c>
      <c r="E46" s="3" t="s">
        <v>587</v>
      </c>
      <c r="F46" s="3" t="s">
        <v>588</v>
      </c>
      <c r="G46" s="3" t="s">
        <v>589</v>
      </c>
    </row>
    <row r="47" spans="1:12" x14ac:dyDescent="0.2">
      <c r="A47" s="3" t="s">
        <v>447</v>
      </c>
      <c r="B47" s="3" t="s">
        <v>543</v>
      </c>
    </row>
    <row r="48" spans="1:12" ht="17" x14ac:dyDescent="0.2">
      <c r="A48" s="12" t="s">
        <v>403</v>
      </c>
      <c r="B48" s="4">
        <v>1534</v>
      </c>
      <c r="D48" s="1" t="s">
        <v>95</v>
      </c>
      <c r="E48" s="1">
        <v>2025</v>
      </c>
      <c r="F48" s="1">
        <v>2026</v>
      </c>
      <c r="G48" s="1">
        <v>2027</v>
      </c>
    </row>
    <row r="49" spans="1:7" x14ac:dyDescent="0.2">
      <c r="A49" s="3" t="s">
        <v>176</v>
      </c>
      <c r="B49" s="3">
        <v>0.02</v>
      </c>
      <c r="D49" s="3" t="s">
        <v>79</v>
      </c>
      <c r="E49" s="5">
        <v>7.9000000000000001E-2</v>
      </c>
      <c r="F49" s="5">
        <v>9.9000000000000005E-2</v>
      </c>
      <c r="G49" s="5">
        <v>0.104</v>
      </c>
    </row>
    <row r="50" spans="1:7" x14ac:dyDescent="0.2">
      <c r="A50" s="3" t="s">
        <v>177</v>
      </c>
      <c r="B50" s="3" t="s">
        <v>46</v>
      </c>
      <c r="D50" s="3" t="s">
        <v>98</v>
      </c>
      <c r="E50" s="5">
        <v>1.7999999999999999E-2</v>
      </c>
      <c r="F50" s="5">
        <v>3.4000000000000002E-2</v>
      </c>
      <c r="G50" s="5">
        <v>5.8999999999999997E-2</v>
      </c>
    </row>
    <row r="51" spans="1:7" x14ac:dyDescent="0.2">
      <c r="D51" s="3" t="s">
        <v>76</v>
      </c>
      <c r="E51" s="5">
        <v>-6.3E-2</v>
      </c>
      <c r="F51" s="5">
        <v>-3.7999999999999999E-2</v>
      </c>
      <c r="G51" s="5">
        <v>8.0000000000000002E-3</v>
      </c>
    </row>
    <row r="52" spans="1:7" x14ac:dyDescent="0.2">
      <c r="A52" s="3" t="s">
        <v>448</v>
      </c>
      <c r="B52" s="3" t="s">
        <v>544</v>
      </c>
    </row>
    <row r="53" spans="1:7" x14ac:dyDescent="0.2">
      <c r="A53" s="3" t="s">
        <v>121</v>
      </c>
      <c r="B53" s="3" t="s">
        <v>46</v>
      </c>
      <c r="D53" s="1" t="s">
        <v>96</v>
      </c>
      <c r="E53" s="1">
        <v>2025</v>
      </c>
      <c r="F53" s="1">
        <v>2026</v>
      </c>
      <c r="G53" s="1">
        <v>2027</v>
      </c>
    </row>
    <row r="54" spans="1:7" x14ac:dyDescent="0.2">
      <c r="D54" s="3" t="s">
        <v>79</v>
      </c>
      <c r="E54" s="3">
        <v>-16.52</v>
      </c>
      <c r="F54" s="3">
        <v>-0.31</v>
      </c>
      <c r="G54" s="3">
        <v>14.1</v>
      </c>
    </row>
    <row r="55" spans="1:7" x14ac:dyDescent="0.2">
      <c r="A55" s="3" t="s">
        <v>449</v>
      </c>
      <c r="B55" s="3">
        <v>3.71</v>
      </c>
      <c r="D55" s="3" t="s">
        <v>98</v>
      </c>
      <c r="E55" s="3">
        <v>-16.45</v>
      </c>
      <c r="F55" s="3">
        <v>-0.41</v>
      </c>
      <c r="G55" s="3">
        <v>4.29</v>
      </c>
    </row>
    <row r="56" spans="1:7" x14ac:dyDescent="0.2">
      <c r="A56" s="3" t="s">
        <v>450</v>
      </c>
      <c r="B56" s="5">
        <v>1.3447</v>
      </c>
      <c r="D56" s="3" t="s">
        <v>76</v>
      </c>
      <c r="E56" s="3">
        <v>-16.440000000000001</v>
      </c>
      <c r="F56" s="3">
        <v>-0.45</v>
      </c>
      <c r="G56" s="3">
        <v>-0.53</v>
      </c>
    </row>
    <row r="57" spans="1:7" x14ac:dyDescent="0.2">
      <c r="A57" s="3" t="s">
        <v>451</v>
      </c>
      <c r="B57" s="3">
        <v>396.86</v>
      </c>
    </row>
    <row r="58" spans="1:7" x14ac:dyDescent="0.2">
      <c r="A58" s="3" t="s">
        <v>452</v>
      </c>
      <c r="B58" s="3">
        <v>342.03</v>
      </c>
      <c r="D58" s="1" t="s">
        <v>66</v>
      </c>
      <c r="E58" s="1">
        <v>2025</v>
      </c>
      <c r="F58" s="1">
        <v>2026</v>
      </c>
      <c r="G58" s="1">
        <v>2027</v>
      </c>
    </row>
    <row r="59" spans="1:7" x14ac:dyDescent="0.2">
      <c r="A59" s="3" t="s">
        <v>453</v>
      </c>
      <c r="B59" s="3">
        <v>43.92</v>
      </c>
      <c r="D59" s="3" t="s">
        <v>79</v>
      </c>
      <c r="E59" s="3" t="s">
        <v>12</v>
      </c>
      <c r="F59" s="3" t="s">
        <v>12</v>
      </c>
      <c r="G59" s="3" t="s">
        <v>12</v>
      </c>
    </row>
    <row r="60" spans="1:7" x14ac:dyDescent="0.2">
      <c r="A60" s="3" t="s">
        <v>454</v>
      </c>
      <c r="B60" s="4">
        <v>11661362</v>
      </c>
      <c r="D60" s="3" t="s">
        <v>98</v>
      </c>
      <c r="E60" s="3" t="s">
        <v>12</v>
      </c>
      <c r="F60" s="3" t="s">
        <v>12</v>
      </c>
      <c r="G60" s="3" t="s">
        <v>12</v>
      </c>
    </row>
    <row r="61" spans="1:7" x14ac:dyDescent="0.2">
      <c r="D61" s="3" t="s">
        <v>76</v>
      </c>
      <c r="E61" s="3" t="s">
        <v>12</v>
      </c>
      <c r="F61" s="3" t="s">
        <v>12</v>
      </c>
      <c r="G61" s="3" t="s">
        <v>12</v>
      </c>
    </row>
    <row r="62" spans="1:7" x14ac:dyDescent="0.2">
      <c r="A62" s="3" t="s">
        <v>455</v>
      </c>
      <c r="B62" s="3" t="s">
        <v>545</v>
      </c>
    </row>
    <row r="63" spans="1:7" x14ac:dyDescent="0.2">
      <c r="A63" s="3" t="s">
        <v>456</v>
      </c>
      <c r="B63" s="3" t="s">
        <v>546</v>
      </c>
    </row>
    <row r="64" spans="1:7" x14ac:dyDescent="0.2">
      <c r="A64" s="3" t="s">
        <v>457</v>
      </c>
      <c r="B64" s="5">
        <v>9.0300000000000005E-2</v>
      </c>
    </row>
    <row r="65" spans="1:2" x14ac:dyDescent="0.2">
      <c r="A65" s="3" t="s">
        <v>458</v>
      </c>
      <c r="B65" s="5">
        <v>9.7199999999999995E-2</v>
      </c>
    </row>
    <row r="66" spans="1:2" x14ac:dyDescent="0.2">
      <c r="A66" s="3" t="s">
        <v>459</v>
      </c>
      <c r="B66" s="3">
        <v>2.02</v>
      </c>
    </row>
    <row r="68" spans="1:2" ht="17" x14ac:dyDescent="0.2">
      <c r="A68" s="12" t="s">
        <v>32</v>
      </c>
      <c r="B68" s="3" t="s">
        <v>547</v>
      </c>
    </row>
    <row r="69" spans="1:2" x14ac:dyDescent="0.2">
      <c r="A69" s="3" t="s">
        <v>1</v>
      </c>
      <c r="B69" s="3" t="s">
        <v>548</v>
      </c>
    </row>
    <row r="70" spans="1:2" x14ac:dyDescent="0.2">
      <c r="A70" s="3" t="s">
        <v>109</v>
      </c>
      <c r="B70" s="3" t="s">
        <v>549</v>
      </c>
    </row>
    <row r="71" spans="1:2" x14ac:dyDescent="0.2">
      <c r="A71" s="3" t="s">
        <v>112</v>
      </c>
      <c r="B71" s="3" t="s">
        <v>46</v>
      </c>
    </row>
    <row r="72" spans="1:2" x14ac:dyDescent="0.2">
      <c r="A72" s="3" t="s">
        <v>17</v>
      </c>
      <c r="B72" s="3" t="s">
        <v>550</v>
      </c>
    </row>
    <row r="73" spans="1:2" x14ac:dyDescent="0.2">
      <c r="A73" s="3" t="s">
        <v>2</v>
      </c>
      <c r="B73" s="3" t="s">
        <v>551</v>
      </c>
    </row>
    <row r="74" spans="1:2" x14ac:dyDescent="0.2">
      <c r="A74" s="3" t="s">
        <v>3</v>
      </c>
      <c r="B74" s="3" t="s">
        <v>549</v>
      </c>
    </row>
    <row r="75" spans="1:2" x14ac:dyDescent="0.2">
      <c r="A75" s="3" t="s">
        <v>512</v>
      </c>
      <c r="B75" s="17">
        <v>-25</v>
      </c>
    </row>
    <row r="77" spans="1:2" x14ac:dyDescent="0.2">
      <c r="A77" s="3" t="s">
        <v>460</v>
      </c>
      <c r="B77" s="3" t="s">
        <v>552</v>
      </c>
    </row>
    <row r="78" spans="1:2" x14ac:dyDescent="0.2">
      <c r="A78" s="3" t="s">
        <v>7</v>
      </c>
      <c r="B78" s="3" t="s">
        <v>553</v>
      </c>
    </row>
    <row r="79" spans="1:2" x14ac:dyDescent="0.2">
      <c r="A79" s="3" t="s">
        <v>461</v>
      </c>
      <c r="B79" s="3" t="s">
        <v>554</v>
      </c>
    </row>
    <row r="80" spans="1:2" x14ac:dyDescent="0.2">
      <c r="A80" s="3" t="s">
        <v>143</v>
      </c>
      <c r="B80" s="17">
        <v>-28.69</v>
      </c>
    </row>
    <row r="81" spans="1:2" x14ac:dyDescent="0.2">
      <c r="A81" s="3" t="s">
        <v>462</v>
      </c>
      <c r="B81" s="3" t="s">
        <v>555</v>
      </c>
    </row>
    <row r="82" spans="1:2" x14ac:dyDescent="0.2">
      <c r="A82" s="3" t="s">
        <v>16</v>
      </c>
      <c r="B82" s="3">
        <v>121.05</v>
      </c>
    </row>
    <row r="83" spans="1:2" x14ac:dyDescent="0.2">
      <c r="A83" s="3" t="s">
        <v>146</v>
      </c>
      <c r="B83" s="3" t="s">
        <v>556</v>
      </c>
    </row>
    <row r="85" spans="1:2" x14ac:dyDescent="0.2">
      <c r="A85" s="3" t="s">
        <v>156</v>
      </c>
      <c r="B85" s="3" t="s">
        <v>557</v>
      </c>
    </row>
    <row r="86" spans="1:2" x14ac:dyDescent="0.2">
      <c r="A86" s="3" t="s">
        <v>157</v>
      </c>
      <c r="B86" s="3" t="s">
        <v>558</v>
      </c>
    </row>
    <row r="87" spans="1:2" x14ac:dyDescent="0.2">
      <c r="A87" s="3" t="s">
        <v>6</v>
      </c>
      <c r="B87" s="3" t="s">
        <v>559</v>
      </c>
    </row>
    <row r="88" spans="1:2" x14ac:dyDescent="0.2">
      <c r="A88" s="3" t="s">
        <v>463</v>
      </c>
      <c r="B88" s="17">
        <v>-0.37</v>
      </c>
    </row>
    <row r="90" spans="1:2" x14ac:dyDescent="0.2">
      <c r="A90" s="3" t="s">
        <v>36</v>
      </c>
      <c r="B90" s="5">
        <v>0.70950000000000002</v>
      </c>
    </row>
    <row r="91" spans="1:2" x14ac:dyDescent="0.2">
      <c r="A91" s="3" t="s">
        <v>37</v>
      </c>
      <c r="B91" s="5">
        <v>-16.484000000000002</v>
      </c>
    </row>
    <row r="92" spans="1:2" x14ac:dyDescent="0.2">
      <c r="A92" s="3" t="s">
        <v>464</v>
      </c>
      <c r="B92" s="5">
        <v>-16.684799999999999</v>
      </c>
    </row>
    <row r="93" spans="1:2" x14ac:dyDescent="0.2">
      <c r="A93" s="3" t="s">
        <v>38</v>
      </c>
      <c r="B93" s="3" t="s">
        <v>46</v>
      </c>
    </row>
    <row r="94" spans="1:2" x14ac:dyDescent="0.2">
      <c r="A94" s="3" t="s">
        <v>118</v>
      </c>
      <c r="B94" s="3" t="s">
        <v>46</v>
      </c>
    </row>
    <row r="95" spans="1:2" x14ac:dyDescent="0.2">
      <c r="A95" s="3" t="s">
        <v>120</v>
      </c>
      <c r="B95" s="3" t="s">
        <v>46</v>
      </c>
    </row>
    <row r="96" spans="1:2" x14ac:dyDescent="0.2">
      <c r="A96" s="3" t="s">
        <v>465</v>
      </c>
      <c r="B96" s="3" t="s">
        <v>46</v>
      </c>
    </row>
    <row r="98" spans="1:2" x14ac:dyDescent="0.2">
      <c r="A98" s="3" t="s">
        <v>35</v>
      </c>
      <c r="B98" s="3" t="s">
        <v>46</v>
      </c>
    </row>
    <row r="99" spans="1:2" x14ac:dyDescent="0.2">
      <c r="A99" s="3" t="s">
        <v>435</v>
      </c>
      <c r="B99" s="3" t="s">
        <v>46</v>
      </c>
    </row>
    <row r="100" spans="1:2" x14ac:dyDescent="0.2">
      <c r="A100" s="3" t="s">
        <v>466</v>
      </c>
      <c r="B100" s="3" t="s">
        <v>46</v>
      </c>
    </row>
    <row r="101" spans="1:2" x14ac:dyDescent="0.2">
      <c r="A101" s="3" t="s">
        <v>467</v>
      </c>
      <c r="B101" s="3" t="s">
        <v>46</v>
      </c>
    </row>
    <row r="102" spans="1:2" x14ac:dyDescent="0.2">
      <c r="A102" s="3" t="s">
        <v>436</v>
      </c>
      <c r="B102" s="3" t="s">
        <v>46</v>
      </c>
    </row>
    <row r="103" spans="1:2" x14ac:dyDescent="0.2">
      <c r="A103" s="3" t="s">
        <v>468</v>
      </c>
      <c r="B103" s="5">
        <v>-0.42349999999999999</v>
      </c>
    </row>
    <row r="104" spans="1:2" x14ac:dyDescent="0.2">
      <c r="A104" s="3" t="s">
        <v>469</v>
      </c>
      <c r="B104" s="5">
        <v>-0.42349999999999999</v>
      </c>
    </row>
    <row r="105" spans="1:2" x14ac:dyDescent="0.2">
      <c r="A105" s="3" t="s">
        <v>30</v>
      </c>
      <c r="B105" s="5">
        <v>-4.7800000000000002E-2</v>
      </c>
    </row>
    <row r="106" spans="1:2" x14ac:dyDescent="0.2">
      <c r="A106" s="3" t="s">
        <v>31</v>
      </c>
      <c r="B106" s="5">
        <v>-8.9999999999999998E-4</v>
      </c>
    </row>
    <row r="108" spans="1:2" x14ac:dyDescent="0.2">
      <c r="A108" s="3" t="s">
        <v>59</v>
      </c>
      <c r="B108" s="17">
        <v>469.27</v>
      </c>
    </row>
    <row r="109" spans="1:2" x14ac:dyDescent="0.2">
      <c r="A109" s="3" t="s">
        <v>60</v>
      </c>
      <c r="B109" s="5">
        <v>0.18790000000000001</v>
      </c>
    </row>
    <row r="110" spans="1:2" x14ac:dyDescent="0.2">
      <c r="A110" s="3" t="s">
        <v>61</v>
      </c>
      <c r="B110" s="3" t="s">
        <v>72</v>
      </c>
    </row>
    <row r="111" spans="1:2" x14ac:dyDescent="0.2">
      <c r="A111" s="3" t="s">
        <v>62</v>
      </c>
      <c r="B111" s="3">
        <v>11</v>
      </c>
    </row>
    <row r="112" spans="1:2" x14ac:dyDescent="0.2">
      <c r="A112" s="3" t="s">
        <v>63</v>
      </c>
      <c r="B112" s="3" t="s">
        <v>46</v>
      </c>
    </row>
    <row r="113" spans="1:2" x14ac:dyDescent="0.2">
      <c r="A113" s="3" t="s">
        <v>64</v>
      </c>
      <c r="B113" s="3" t="s">
        <v>46</v>
      </c>
    </row>
    <row r="115" spans="1:2" x14ac:dyDescent="0.2">
      <c r="A115" s="3" t="s">
        <v>499</v>
      </c>
      <c r="B115" s="3" t="s">
        <v>46</v>
      </c>
    </row>
    <row r="116" spans="1:2" x14ac:dyDescent="0.2">
      <c r="A116" s="3" t="s">
        <v>500</v>
      </c>
      <c r="B116" s="3" t="s">
        <v>46</v>
      </c>
    </row>
    <row r="117" spans="1:2" x14ac:dyDescent="0.2">
      <c r="A117" s="3" t="s">
        <v>501</v>
      </c>
      <c r="B117" s="3" t="s">
        <v>46</v>
      </c>
    </row>
    <row r="118" spans="1:2" x14ac:dyDescent="0.2">
      <c r="A118" s="3" t="s">
        <v>502</v>
      </c>
      <c r="B118" s="3" t="s">
        <v>46</v>
      </c>
    </row>
    <row r="120" spans="1:2" x14ac:dyDescent="0.2">
      <c r="A120" s="3" t="s">
        <v>470</v>
      </c>
      <c r="B120" s="16">
        <v>45512</v>
      </c>
    </row>
    <row r="121" spans="1:2" x14ac:dyDescent="0.2">
      <c r="A121" s="3" t="s">
        <v>471</v>
      </c>
      <c r="B121" s="3" t="s">
        <v>520</v>
      </c>
    </row>
    <row r="122" spans="1:2" x14ac:dyDescent="0.2">
      <c r="A122" s="3" t="s">
        <v>472</v>
      </c>
      <c r="B122" s="80">
        <v>0.41736111111111113</v>
      </c>
    </row>
    <row r="124" spans="1:2" x14ac:dyDescent="0.2">
      <c r="A124" s="3" t="s">
        <v>473</v>
      </c>
      <c r="B124" s="3">
        <v>2.5</v>
      </c>
    </row>
    <row r="125" spans="1:2" x14ac:dyDescent="0.2">
      <c r="A125" s="3" t="s">
        <v>474</v>
      </c>
      <c r="B125" s="3">
        <v>1</v>
      </c>
    </row>
  </sheetData>
  <mergeCells count="30">
    <mergeCell ref="K27:K29"/>
    <mergeCell ref="E30:E32"/>
    <mergeCell ref="G30:G32"/>
    <mergeCell ref="H30:H32"/>
    <mergeCell ref="I30:I32"/>
    <mergeCell ref="J30:J32"/>
    <mergeCell ref="K30:K32"/>
    <mergeCell ref="E27:E29"/>
    <mergeCell ref="G27:G29"/>
    <mergeCell ref="H27:H29"/>
    <mergeCell ref="I27:I29"/>
    <mergeCell ref="J27:J29"/>
    <mergeCell ref="K21:K23"/>
    <mergeCell ref="E24:E26"/>
    <mergeCell ref="G24:G26"/>
    <mergeCell ref="H24:H26"/>
    <mergeCell ref="I24:I26"/>
    <mergeCell ref="J24:J26"/>
    <mergeCell ref="K24:K26"/>
    <mergeCell ref="E21:E23"/>
    <mergeCell ref="G21:G23"/>
    <mergeCell ref="H21:H23"/>
    <mergeCell ref="I21:I23"/>
    <mergeCell ref="J21:J23"/>
    <mergeCell ref="K18:K20"/>
    <mergeCell ref="E18:E20"/>
    <mergeCell ref="G18:G20"/>
    <mergeCell ref="H18:H20"/>
    <mergeCell ref="I18:I20"/>
    <mergeCell ref="J18:J20"/>
  </mergeCells>
  <hyperlinks>
    <hyperlink ref="A5" r:id="rId1" display="file:///stocks/mstr/market-cap" xr:uid="{63EBD47F-B655-5D4C-9BE3-1C8EEFEE3318}"/>
    <hyperlink ref="A48" r:id="rId2" display="file:///stocks/mstr/employees" xr:uid="{A0280424-CBF3-D841-8AED-A23B704A99BF}"/>
    <hyperlink ref="A68" r:id="rId3" display="file:///stocks/mstr/revenue" xr:uid="{0F9A14DA-11E8-704C-A0BE-4AC8A7BF4EE9}"/>
    <hyperlink ref="D18" r:id="rId4" display="file:///analysts/brett-knoblauch" xr:uid="{AB5C6C2D-A24A-4243-8D9A-5ECE6D4068E5}"/>
    <hyperlink ref="D21" r:id="rId5" display="file:///analysts/lance-vitanza" xr:uid="{AC48693D-FBCD-0D43-96B2-0419FBFEF15C}"/>
    <hyperlink ref="D24" r:id="rId6" display="file:///analysts/ramsey-el-assal" xr:uid="{6D5B96FF-F8CD-B841-95DC-2EBF727648E7}"/>
    <hyperlink ref="D27" r:id="rId7" display="file:///analysts/brett-knoblauch" xr:uid="{F21D0BB4-27D3-A747-82BA-50ABBC9E3BA6}"/>
    <hyperlink ref="D30" r:id="rId8" display="file:///analysts/mike-colonnese" xr:uid="{1DB43BD0-BA7F-544B-A451-85A512098AD4}"/>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06706-46CB-2244-AB3D-5BB5DAD2AB4D}">
  <sheetPr codeName="Sheet2">
    <tabColor theme="2" tint="-0.249977111117893"/>
  </sheetPr>
  <dimension ref="A5:AE214"/>
  <sheetViews>
    <sheetView zoomScale="50" workbookViewId="0">
      <selection activeCell="A7" sqref="A7:AG217"/>
    </sheetView>
  </sheetViews>
  <sheetFormatPr baseColWidth="10" defaultRowHeight="16" x14ac:dyDescent="0.2"/>
  <cols>
    <col min="1" max="1" width="25.5" bestFit="1" customWidth="1"/>
    <col min="2" max="2" width="13.5" bestFit="1" customWidth="1"/>
    <col min="3" max="7" width="8.83203125" bestFit="1" customWidth="1"/>
    <col min="8" max="13" width="7.1640625" bestFit="1" customWidth="1"/>
    <col min="14" max="14" width="7.83203125" bestFit="1" customWidth="1"/>
    <col min="15" max="16" width="7.1640625" bestFit="1" customWidth="1"/>
    <col min="17" max="17" width="8.1640625" bestFit="1" customWidth="1"/>
    <col min="18" max="18" width="7.1640625" bestFit="1" customWidth="1"/>
    <col min="19" max="21" width="8.1640625" bestFit="1" customWidth="1"/>
    <col min="22" max="22" width="7.1640625" bestFit="1" customWidth="1"/>
    <col min="23" max="23" width="8.83203125" bestFit="1" customWidth="1"/>
    <col min="24" max="24" width="7.1640625" bestFit="1" customWidth="1"/>
    <col min="25" max="25" width="8.83203125" bestFit="1" customWidth="1"/>
    <col min="26" max="26" width="8.1640625" bestFit="1" customWidth="1"/>
    <col min="27" max="27" width="8.83203125" bestFit="1" customWidth="1"/>
    <col min="28" max="29" width="7.83203125" bestFit="1" customWidth="1"/>
    <col min="30" max="30" width="8.1640625" bestFit="1" customWidth="1"/>
    <col min="31" max="32" width="7.1640625" bestFit="1" customWidth="1"/>
    <col min="33" max="33" width="4.5" bestFit="1" customWidth="1"/>
    <col min="34" max="34" width="7.83203125" bestFit="1" customWidth="1"/>
    <col min="35" max="35" width="8.1640625" bestFit="1" customWidth="1"/>
    <col min="36" max="36" width="8.83203125" bestFit="1" customWidth="1"/>
    <col min="37" max="37" width="8.1640625" bestFit="1" customWidth="1"/>
    <col min="38" max="39" width="7.83203125" bestFit="1" customWidth="1"/>
    <col min="40" max="41" width="8.1640625" bestFit="1" customWidth="1"/>
    <col min="42" max="42" width="7.1640625" bestFit="1" customWidth="1"/>
    <col min="43" max="43" width="2.5" bestFit="1" customWidth="1"/>
  </cols>
  <sheetData>
    <row r="5" spans="1:30" ht="16" customHeight="1" x14ac:dyDescent="0.2">
      <c r="A5" s="79" t="s">
        <v>253</v>
      </c>
      <c r="B5" s="1" t="s">
        <v>254</v>
      </c>
      <c r="C5" s="1">
        <v>2024</v>
      </c>
      <c r="D5" s="1">
        <v>2023</v>
      </c>
      <c r="E5" s="1">
        <v>2022</v>
      </c>
      <c r="F5" s="1">
        <v>2021</v>
      </c>
      <c r="G5" s="1">
        <v>2020</v>
      </c>
      <c r="H5" s="1">
        <v>2019</v>
      </c>
      <c r="I5" s="1">
        <v>2018</v>
      </c>
      <c r="J5" s="1">
        <v>2017</v>
      </c>
      <c r="K5" s="1">
        <v>2016</v>
      </c>
      <c r="L5" s="1">
        <v>2015</v>
      </c>
      <c r="M5" s="1">
        <v>2014</v>
      </c>
      <c r="N5" s="1">
        <v>2013</v>
      </c>
      <c r="O5" s="1">
        <v>2012</v>
      </c>
      <c r="P5" s="1">
        <v>2011</v>
      </c>
      <c r="Q5" s="1">
        <v>2010</v>
      </c>
      <c r="R5" s="1">
        <v>2009</v>
      </c>
      <c r="S5" s="1">
        <v>2008</v>
      </c>
      <c r="T5" s="1">
        <v>2007</v>
      </c>
      <c r="U5" s="1">
        <v>2006</v>
      </c>
      <c r="V5" s="1">
        <v>2005</v>
      </c>
      <c r="W5" s="1">
        <v>2004</v>
      </c>
      <c r="X5" s="1">
        <v>2003</v>
      </c>
      <c r="Y5" s="1">
        <v>2002</v>
      </c>
      <c r="Z5" s="1">
        <v>2001</v>
      </c>
      <c r="AA5" s="1">
        <v>2000</v>
      </c>
      <c r="AB5" s="1">
        <v>1999</v>
      </c>
      <c r="AC5" s="1">
        <v>1998</v>
      </c>
      <c r="AD5" s="1">
        <v>1997</v>
      </c>
    </row>
    <row r="6" spans="1:30" ht="16" customHeight="1" x14ac:dyDescent="0.2">
      <c r="A6" s="79"/>
      <c r="B6" s="40" t="s">
        <v>255</v>
      </c>
      <c r="C6" s="41">
        <v>46022</v>
      </c>
      <c r="D6" s="41">
        <v>46022</v>
      </c>
      <c r="E6" s="41">
        <v>46022</v>
      </c>
      <c r="F6" s="41">
        <v>46022</v>
      </c>
      <c r="G6" s="41">
        <v>46022</v>
      </c>
      <c r="H6" s="41">
        <v>46022</v>
      </c>
      <c r="I6" s="41">
        <v>46022</v>
      </c>
      <c r="J6" s="41">
        <v>46022</v>
      </c>
      <c r="K6" s="41">
        <v>46022</v>
      </c>
      <c r="L6" s="41">
        <v>46022</v>
      </c>
      <c r="M6" s="41">
        <v>46022</v>
      </c>
      <c r="N6" s="41">
        <v>46022</v>
      </c>
      <c r="O6" s="41">
        <v>46022</v>
      </c>
      <c r="P6" s="41">
        <v>46022</v>
      </c>
      <c r="Q6" s="41">
        <v>46022</v>
      </c>
      <c r="R6" s="41">
        <v>46022</v>
      </c>
      <c r="S6" s="41">
        <v>46022</v>
      </c>
      <c r="T6" s="41">
        <v>46022</v>
      </c>
      <c r="U6" s="41">
        <v>46022</v>
      </c>
      <c r="V6" s="41">
        <v>46022</v>
      </c>
      <c r="W6" s="41">
        <v>46022</v>
      </c>
      <c r="X6" s="41">
        <v>46022</v>
      </c>
      <c r="Y6" s="41">
        <v>46022</v>
      </c>
      <c r="Z6" s="41">
        <v>46022</v>
      </c>
      <c r="AA6" s="41">
        <v>46022</v>
      </c>
      <c r="AB6" s="41">
        <v>46022</v>
      </c>
      <c r="AC6" s="41">
        <v>46022</v>
      </c>
      <c r="AD6" s="41">
        <v>46022</v>
      </c>
    </row>
    <row r="7" spans="1:30" x14ac:dyDescent="0.2">
      <c r="A7" s="42" t="s">
        <v>256</v>
      </c>
      <c r="B7" s="43">
        <v>45782</v>
      </c>
      <c r="C7" s="43">
        <v>45706</v>
      </c>
      <c r="D7" s="43">
        <v>45337</v>
      </c>
      <c r="E7" s="43">
        <v>44973</v>
      </c>
      <c r="F7" s="43">
        <v>44608</v>
      </c>
      <c r="G7" s="43">
        <v>44239</v>
      </c>
      <c r="H7" s="43">
        <v>43875</v>
      </c>
      <c r="I7" s="43">
        <v>43516</v>
      </c>
      <c r="J7" s="43">
        <v>43138</v>
      </c>
      <c r="K7" s="43">
        <v>42776</v>
      </c>
      <c r="L7" s="43">
        <v>42426</v>
      </c>
      <c r="M7" s="43">
        <v>42061</v>
      </c>
      <c r="N7" s="43">
        <v>41682</v>
      </c>
      <c r="O7" s="43">
        <v>41318</v>
      </c>
      <c r="P7" s="43">
        <v>40956</v>
      </c>
      <c r="Q7" s="43">
        <v>40592</v>
      </c>
      <c r="R7" s="43">
        <v>40233</v>
      </c>
      <c r="S7" s="43">
        <v>39868</v>
      </c>
      <c r="T7" s="43">
        <v>39497</v>
      </c>
      <c r="U7" s="43">
        <v>39136</v>
      </c>
      <c r="V7" s="43">
        <v>38786</v>
      </c>
      <c r="W7" s="43">
        <v>38427</v>
      </c>
      <c r="X7" s="43">
        <v>38058</v>
      </c>
      <c r="Y7" s="43">
        <v>37694</v>
      </c>
      <c r="Z7" s="43">
        <v>37334</v>
      </c>
      <c r="AA7" s="43">
        <v>36983</v>
      </c>
      <c r="AB7" s="43">
        <v>36629</v>
      </c>
      <c r="AC7" s="43">
        <v>36244</v>
      </c>
      <c r="AD7" s="43">
        <v>35795</v>
      </c>
    </row>
    <row r="8" spans="1:30" x14ac:dyDescent="0.2">
      <c r="A8" s="42" t="s">
        <v>32</v>
      </c>
      <c r="B8" s="3">
        <v>459.3</v>
      </c>
      <c r="C8" s="3">
        <v>463.5</v>
      </c>
      <c r="D8" s="3">
        <v>496.3</v>
      </c>
      <c r="E8" s="3">
        <v>499.3</v>
      </c>
      <c r="F8" s="3">
        <v>510.8</v>
      </c>
      <c r="G8" s="3">
        <v>480.7</v>
      </c>
      <c r="H8" s="3">
        <v>486.3</v>
      </c>
      <c r="I8" s="3">
        <v>497.6</v>
      </c>
      <c r="J8" s="3">
        <v>503.8</v>
      </c>
      <c r="K8" s="3">
        <v>513.6</v>
      </c>
      <c r="L8" s="3">
        <v>529.9</v>
      </c>
      <c r="M8" s="3">
        <v>579.79999999999995</v>
      </c>
      <c r="N8" s="3">
        <v>575.9</v>
      </c>
      <c r="O8" s="3">
        <v>565.70000000000005</v>
      </c>
      <c r="P8" s="3">
        <v>537.20000000000005</v>
      </c>
      <c r="Q8" s="3">
        <v>454.6</v>
      </c>
      <c r="R8" s="3">
        <v>377.8</v>
      </c>
      <c r="S8" s="3">
        <v>360.4</v>
      </c>
      <c r="T8" s="3">
        <v>350.7</v>
      </c>
      <c r="U8" s="3">
        <v>313.8</v>
      </c>
      <c r="V8" s="3">
        <v>268.7</v>
      </c>
      <c r="W8" s="3">
        <v>231.2</v>
      </c>
      <c r="X8" s="3">
        <v>175.6</v>
      </c>
      <c r="Y8" s="3">
        <v>147.80000000000001</v>
      </c>
      <c r="Z8" s="3">
        <v>180.4</v>
      </c>
      <c r="AA8" s="3">
        <v>215.3</v>
      </c>
      <c r="AB8" s="3">
        <v>151.30000000000001</v>
      </c>
      <c r="AC8" s="3">
        <v>95.49</v>
      </c>
      <c r="AD8" s="3">
        <v>52.55</v>
      </c>
    </row>
    <row r="9" spans="1:30" x14ac:dyDescent="0.2">
      <c r="A9" s="42" t="s">
        <v>106</v>
      </c>
      <c r="B9" s="3">
        <v>133.4</v>
      </c>
      <c r="C9" s="3">
        <v>129.5</v>
      </c>
      <c r="D9" s="3">
        <v>109.9</v>
      </c>
      <c r="E9" s="3">
        <v>103</v>
      </c>
      <c r="F9" s="3">
        <v>91.91</v>
      </c>
      <c r="G9" s="3">
        <v>91.06</v>
      </c>
      <c r="H9" s="3">
        <v>99.97</v>
      </c>
      <c r="I9" s="3">
        <v>99.5</v>
      </c>
      <c r="J9" s="3">
        <v>96.65</v>
      </c>
      <c r="K9" s="3">
        <v>93.15</v>
      </c>
      <c r="L9" s="3">
        <v>101.1</v>
      </c>
      <c r="M9" s="3">
        <v>135.19999999999999</v>
      </c>
      <c r="N9" s="3">
        <v>138.6</v>
      </c>
      <c r="O9" s="3">
        <v>141.1</v>
      </c>
      <c r="P9" s="3">
        <v>130.69999999999999</v>
      </c>
      <c r="Q9" s="3">
        <v>106.1</v>
      </c>
      <c r="R9" s="3">
        <v>66.599999999999994</v>
      </c>
      <c r="S9" s="3">
        <v>63.41</v>
      </c>
      <c r="T9" s="3">
        <v>60.49</v>
      </c>
      <c r="U9" s="3">
        <v>44.39</v>
      </c>
      <c r="V9" s="3">
        <v>36.450000000000003</v>
      </c>
      <c r="W9" s="3">
        <v>32.869999999999997</v>
      </c>
      <c r="X9" s="3">
        <v>27.98</v>
      </c>
      <c r="Y9" s="3">
        <v>27.9</v>
      </c>
      <c r="Z9" s="3">
        <v>45.64</v>
      </c>
      <c r="AA9" s="3">
        <v>77.56</v>
      </c>
      <c r="AB9" s="3">
        <v>37.03</v>
      </c>
      <c r="AC9" s="3">
        <v>16.34</v>
      </c>
      <c r="AD9" s="3">
        <v>9.8699999999999992</v>
      </c>
    </row>
    <row r="10" spans="1:30" x14ac:dyDescent="0.2">
      <c r="A10" s="44" t="s">
        <v>1</v>
      </c>
      <c r="B10" s="3">
        <v>325.89999999999998</v>
      </c>
      <c r="C10" s="3">
        <v>334</v>
      </c>
      <c r="D10" s="3">
        <v>386.3</v>
      </c>
      <c r="E10" s="3">
        <v>396.3</v>
      </c>
      <c r="F10" s="3">
        <v>418.9</v>
      </c>
      <c r="G10" s="3">
        <v>389.7</v>
      </c>
      <c r="H10" s="3">
        <v>386.4</v>
      </c>
      <c r="I10" s="3">
        <v>398.1</v>
      </c>
      <c r="J10" s="3">
        <v>407.2</v>
      </c>
      <c r="K10" s="3">
        <v>420.4</v>
      </c>
      <c r="L10" s="3">
        <v>428.8</v>
      </c>
      <c r="M10" s="3">
        <v>444.6</v>
      </c>
      <c r="N10" s="3">
        <v>437.3</v>
      </c>
      <c r="O10" s="3">
        <v>424.6</v>
      </c>
      <c r="P10" s="3">
        <v>406.5</v>
      </c>
      <c r="Q10" s="3">
        <v>348.5</v>
      </c>
      <c r="R10" s="3">
        <v>311.2</v>
      </c>
      <c r="S10" s="3">
        <v>297</v>
      </c>
      <c r="T10" s="3">
        <v>290.2</v>
      </c>
      <c r="U10" s="3">
        <v>269.39999999999998</v>
      </c>
      <c r="V10" s="3">
        <v>232.2</v>
      </c>
      <c r="W10" s="3">
        <v>198.3</v>
      </c>
      <c r="X10" s="3">
        <v>147.6</v>
      </c>
      <c r="Y10" s="3">
        <v>119.9</v>
      </c>
      <c r="Z10" s="3">
        <v>134.80000000000001</v>
      </c>
      <c r="AA10" s="3">
        <v>137.69999999999999</v>
      </c>
      <c r="AB10" s="3">
        <v>114.2</v>
      </c>
      <c r="AC10" s="3">
        <v>79.14</v>
      </c>
      <c r="AD10" s="3">
        <v>42.68</v>
      </c>
    </row>
    <row r="11" spans="1:30" x14ac:dyDescent="0.2">
      <c r="A11" s="42" t="s">
        <v>257</v>
      </c>
      <c r="B11" s="4">
        <v>7897</v>
      </c>
      <c r="C11" s="4">
        <v>2187</v>
      </c>
      <c r="D11" s="3">
        <v>501.4</v>
      </c>
      <c r="E11" s="4">
        <v>1672</v>
      </c>
      <c r="F11" s="4">
        <v>1203</v>
      </c>
      <c r="G11" s="3">
        <v>403.3</v>
      </c>
      <c r="H11" s="3">
        <v>387.4</v>
      </c>
      <c r="I11" s="3">
        <v>394.2</v>
      </c>
      <c r="J11" s="3">
        <v>334</v>
      </c>
      <c r="K11" s="3">
        <v>310.89999999999998</v>
      </c>
      <c r="L11" s="3">
        <v>294.7</v>
      </c>
      <c r="M11" s="3">
        <v>439.5</v>
      </c>
      <c r="N11" s="3">
        <v>417.9</v>
      </c>
      <c r="O11" s="3">
        <v>391.5</v>
      </c>
      <c r="P11" s="3">
        <v>385.6</v>
      </c>
      <c r="Q11" s="3">
        <v>297.89999999999998</v>
      </c>
      <c r="R11" s="3">
        <v>224.9</v>
      </c>
      <c r="S11" s="3">
        <v>229.2</v>
      </c>
      <c r="T11" s="3">
        <v>202</v>
      </c>
      <c r="U11" s="3">
        <v>169.6</v>
      </c>
      <c r="V11" s="3">
        <v>138.30000000000001</v>
      </c>
      <c r="W11" s="3">
        <v>129.9</v>
      </c>
      <c r="X11" s="3">
        <v>119.6</v>
      </c>
      <c r="Y11" s="3">
        <v>109.5</v>
      </c>
      <c r="Z11" s="3">
        <v>201.5</v>
      </c>
      <c r="AA11" s="3">
        <v>255.5</v>
      </c>
      <c r="AB11" s="3">
        <v>139.5</v>
      </c>
      <c r="AC11" s="3">
        <v>81.69</v>
      </c>
      <c r="AD11" s="3">
        <v>43.31</v>
      </c>
    </row>
    <row r="12" spans="1:30" x14ac:dyDescent="0.2">
      <c r="A12" s="42" t="s">
        <v>219</v>
      </c>
      <c r="B12" s="3">
        <v>113.7</v>
      </c>
      <c r="C12" s="3">
        <v>118.5</v>
      </c>
      <c r="D12" s="3">
        <v>120.5</v>
      </c>
      <c r="E12" s="3">
        <v>127.4</v>
      </c>
      <c r="F12" s="3">
        <v>117.1</v>
      </c>
      <c r="G12" s="3">
        <v>103.6</v>
      </c>
      <c r="H12" s="3">
        <v>109.4</v>
      </c>
      <c r="I12" s="3">
        <v>102.5</v>
      </c>
      <c r="J12" s="3">
        <v>78.77</v>
      </c>
      <c r="K12" s="3">
        <v>73.14</v>
      </c>
      <c r="L12" s="3">
        <v>65.209999999999994</v>
      </c>
      <c r="M12" s="3">
        <v>103.4</v>
      </c>
      <c r="N12" s="3">
        <v>98.06</v>
      </c>
      <c r="O12" s="3">
        <v>88.19</v>
      </c>
      <c r="P12" s="3">
        <v>67.86</v>
      </c>
      <c r="Q12" s="3">
        <v>50.57</v>
      </c>
      <c r="R12" s="3">
        <v>41.8</v>
      </c>
      <c r="S12" s="3">
        <v>30.57</v>
      </c>
      <c r="T12" s="3">
        <v>36.659999999999997</v>
      </c>
      <c r="U12" s="3">
        <v>34.130000000000003</v>
      </c>
      <c r="V12" s="3">
        <v>31.47</v>
      </c>
      <c r="W12" s="3">
        <v>24.91</v>
      </c>
      <c r="X12" s="3">
        <v>27.68</v>
      </c>
      <c r="Y12" s="3">
        <v>26.3</v>
      </c>
      <c r="Z12" s="3">
        <v>32.82</v>
      </c>
      <c r="AA12" s="3">
        <v>43.89</v>
      </c>
      <c r="AB12" s="3">
        <v>24.23</v>
      </c>
      <c r="AC12" s="3">
        <v>12.11</v>
      </c>
      <c r="AD12" s="3">
        <v>5.05</v>
      </c>
    </row>
    <row r="13" spans="1:30" x14ac:dyDescent="0.2">
      <c r="A13" s="42" t="s">
        <v>258</v>
      </c>
      <c r="B13" s="3">
        <v>278.60000000000002</v>
      </c>
      <c r="C13" s="3">
        <v>278.60000000000002</v>
      </c>
      <c r="D13" s="3">
        <v>265</v>
      </c>
      <c r="E13" s="3">
        <v>258.3</v>
      </c>
      <c r="F13" s="3">
        <v>255.6</v>
      </c>
      <c r="G13" s="3">
        <v>229</v>
      </c>
      <c r="H13" s="3">
        <v>277.89999999999998</v>
      </c>
      <c r="I13" s="3">
        <v>291.7</v>
      </c>
      <c r="J13" s="3">
        <v>255.2</v>
      </c>
      <c r="K13" s="3">
        <v>237.7</v>
      </c>
      <c r="L13" s="3">
        <v>229.3</v>
      </c>
      <c r="M13" s="3">
        <v>321.39999999999998</v>
      </c>
      <c r="N13" s="3">
        <v>319.8</v>
      </c>
      <c r="O13" s="3">
        <v>303.39999999999998</v>
      </c>
      <c r="P13" s="3">
        <v>317.7</v>
      </c>
      <c r="Q13" s="3">
        <v>247.3</v>
      </c>
      <c r="R13" s="3">
        <v>183.1</v>
      </c>
      <c r="S13" s="3">
        <v>198.6</v>
      </c>
      <c r="T13" s="3">
        <v>165.2</v>
      </c>
      <c r="U13" s="3">
        <v>135.4</v>
      </c>
      <c r="V13" s="3">
        <v>106.8</v>
      </c>
      <c r="W13" s="3">
        <v>104.9</v>
      </c>
      <c r="X13" s="3">
        <v>90.06</v>
      </c>
      <c r="Y13" s="3">
        <v>75.81</v>
      </c>
      <c r="Z13" s="3">
        <v>112</v>
      </c>
      <c r="AA13" s="3">
        <v>184.6</v>
      </c>
      <c r="AB13" s="3">
        <v>112.1</v>
      </c>
      <c r="AC13" s="3">
        <v>66.150000000000006</v>
      </c>
      <c r="AD13" s="3">
        <v>37.020000000000003</v>
      </c>
    </row>
    <row r="14" spans="1:30" x14ac:dyDescent="0.2">
      <c r="A14" s="42" t="s">
        <v>221</v>
      </c>
      <c r="B14" s="4">
        <v>7504</v>
      </c>
      <c r="C14" s="4">
        <v>1790</v>
      </c>
      <c r="D14" s="3">
        <v>115.9</v>
      </c>
      <c r="E14" s="4">
        <v>1286</v>
      </c>
      <c r="F14" s="3">
        <v>830.6</v>
      </c>
      <c r="G14" s="3">
        <v>70.7</v>
      </c>
      <c r="H14" s="3">
        <v>0</v>
      </c>
      <c r="I14" s="3">
        <v>0</v>
      </c>
      <c r="J14" s="3">
        <v>0</v>
      </c>
      <c r="K14" s="3">
        <v>4.4999999999999998E-2</v>
      </c>
      <c r="L14" s="3">
        <v>0.27900000000000003</v>
      </c>
      <c r="M14" s="3">
        <v>14.73</v>
      </c>
      <c r="N14" s="3">
        <v>0</v>
      </c>
      <c r="O14" s="3">
        <v>0</v>
      </c>
      <c r="P14" s="3">
        <v>0</v>
      </c>
      <c r="Q14" s="3">
        <v>0</v>
      </c>
      <c r="R14" s="3">
        <v>0</v>
      </c>
      <c r="S14" s="3">
        <v>0</v>
      </c>
      <c r="T14" s="3">
        <v>7.0999999999999994E-2</v>
      </c>
      <c r="U14" s="3">
        <v>7.0999999999999994E-2</v>
      </c>
      <c r="V14" s="3">
        <v>7.0999999999999994E-2</v>
      </c>
      <c r="W14" s="3">
        <v>7.0999999999999994E-2</v>
      </c>
      <c r="X14" s="3">
        <v>1.88</v>
      </c>
      <c r="Y14" s="3">
        <v>7.39</v>
      </c>
      <c r="Z14" s="3">
        <v>56.71</v>
      </c>
      <c r="AA14" s="3">
        <v>27.03</v>
      </c>
      <c r="AB14" s="3">
        <v>3.22</v>
      </c>
      <c r="AC14" s="3">
        <v>3.44</v>
      </c>
      <c r="AD14" s="3">
        <v>1.24</v>
      </c>
    </row>
    <row r="15" spans="1:30" x14ac:dyDescent="0.2">
      <c r="A15" s="44" t="s">
        <v>109</v>
      </c>
      <c r="B15" s="4">
        <v>-7571</v>
      </c>
      <c r="C15" s="4">
        <v>-1853</v>
      </c>
      <c r="D15" s="3">
        <v>-115</v>
      </c>
      <c r="E15" s="4">
        <v>-1276</v>
      </c>
      <c r="F15" s="3">
        <v>-784.5</v>
      </c>
      <c r="G15" s="3">
        <v>-13.62</v>
      </c>
      <c r="H15" s="3">
        <v>-1</v>
      </c>
      <c r="I15" s="3">
        <v>3.98</v>
      </c>
      <c r="J15" s="3">
        <v>73.22</v>
      </c>
      <c r="K15" s="3">
        <v>109.5</v>
      </c>
      <c r="L15" s="3">
        <v>134</v>
      </c>
      <c r="M15" s="3">
        <v>5.0999999999999996</v>
      </c>
      <c r="N15" s="3">
        <v>19.440000000000001</v>
      </c>
      <c r="O15" s="3">
        <v>33.1</v>
      </c>
      <c r="P15" s="3">
        <v>20.87</v>
      </c>
      <c r="Q15" s="3">
        <v>50.59</v>
      </c>
      <c r="R15" s="3">
        <v>86.3</v>
      </c>
      <c r="S15" s="3">
        <v>67.8</v>
      </c>
      <c r="T15" s="3">
        <v>88.22</v>
      </c>
      <c r="U15" s="3">
        <v>99.79</v>
      </c>
      <c r="V15" s="3">
        <v>93.87</v>
      </c>
      <c r="W15" s="3">
        <v>68.45</v>
      </c>
      <c r="X15" s="3">
        <v>27.97</v>
      </c>
      <c r="Y15" s="3">
        <v>10.42</v>
      </c>
      <c r="Z15" s="3">
        <v>-66.72</v>
      </c>
      <c r="AA15" s="3">
        <v>-117.8</v>
      </c>
      <c r="AB15" s="3">
        <v>-25.3</v>
      </c>
      <c r="AC15" s="3">
        <v>-2.5499999999999998</v>
      </c>
      <c r="AD15" s="3">
        <v>-0.63400000000000001</v>
      </c>
    </row>
    <row r="16" spans="1:30" x14ac:dyDescent="0.2">
      <c r="A16" s="42" t="s">
        <v>259</v>
      </c>
      <c r="B16" s="3">
        <v>-67.17</v>
      </c>
      <c r="C16" s="3">
        <v>-61.94</v>
      </c>
      <c r="D16" s="3">
        <v>-48.96</v>
      </c>
      <c r="E16" s="3">
        <v>-53.14</v>
      </c>
      <c r="F16" s="3">
        <v>-29.15</v>
      </c>
      <c r="G16" s="3">
        <v>0.71</v>
      </c>
      <c r="H16" s="3">
        <v>10.91</v>
      </c>
      <c r="I16" s="3">
        <v>11.86</v>
      </c>
      <c r="J16" s="3">
        <v>5.21</v>
      </c>
      <c r="K16" s="3">
        <v>2.2000000000000002</v>
      </c>
      <c r="L16" s="3">
        <v>0.28399999999999997</v>
      </c>
      <c r="M16" s="3">
        <v>0.16200000000000001</v>
      </c>
      <c r="N16" s="3">
        <v>0.497</v>
      </c>
      <c r="O16" s="3">
        <v>0.14299999999999999</v>
      </c>
      <c r="P16" s="3">
        <v>0.19900000000000001</v>
      </c>
      <c r="Q16" s="3">
        <v>0.38900000000000001</v>
      </c>
      <c r="R16" s="3">
        <v>0</v>
      </c>
      <c r="S16" s="3">
        <v>0</v>
      </c>
      <c r="T16" s="3">
        <v>0</v>
      </c>
      <c r="U16" s="3">
        <v>0</v>
      </c>
      <c r="V16" s="3">
        <v>0</v>
      </c>
      <c r="W16" s="3">
        <v>0</v>
      </c>
      <c r="X16" s="3">
        <v>0</v>
      </c>
      <c r="Y16" s="3">
        <v>0</v>
      </c>
      <c r="Z16" s="3">
        <v>0</v>
      </c>
      <c r="AA16" s="3">
        <v>0</v>
      </c>
      <c r="AB16" s="3">
        <v>0</v>
      </c>
      <c r="AC16" s="3">
        <v>0</v>
      </c>
      <c r="AD16" s="3">
        <v>0</v>
      </c>
    </row>
    <row r="17" spans="1:30" x14ac:dyDescent="0.2">
      <c r="A17" s="42" t="s">
        <v>260</v>
      </c>
      <c r="B17" s="3">
        <v>0</v>
      </c>
      <c r="C17" s="3">
        <v>0</v>
      </c>
      <c r="D17" s="3">
        <v>0</v>
      </c>
      <c r="E17" s="3">
        <v>0</v>
      </c>
      <c r="F17" s="3">
        <v>0</v>
      </c>
      <c r="G17" s="3">
        <v>2.52</v>
      </c>
      <c r="H17" s="3">
        <v>10.91</v>
      </c>
      <c r="I17" s="3">
        <v>11.86</v>
      </c>
      <c r="J17" s="3">
        <v>5.21</v>
      </c>
      <c r="K17" s="3">
        <v>2.2000000000000002</v>
      </c>
      <c r="L17" s="3">
        <v>0.28399999999999997</v>
      </c>
      <c r="M17" s="3">
        <v>0.16200000000000001</v>
      </c>
      <c r="N17" s="3">
        <v>0.497</v>
      </c>
      <c r="O17" s="3">
        <v>0.14299999999999999</v>
      </c>
      <c r="P17" s="3">
        <v>0.19900000000000001</v>
      </c>
      <c r="Q17" s="3">
        <v>0.38900000000000001</v>
      </c>
      <c r="R17" s="3">
        <v>0</v>
      </c>
      <c r="S17" s="3">
        <v>0</v>
      </c>
      <c r="T17" s="3">
        <v>0</v>
      </c>
      <c r="U17" s="3">
        <v>0</v>
      </c>
      <c r="V17" s="3">
        <v>0</v>
      </c>
      <c r="W17" s="3">
        <v>0</v>
      </c>
      <c r="X17" s="3">
        <v>0</v>
      </c>
      <c r="Y17" s="3">
        <v>0</v>
      </c>
      <c r="Z17" s="3">
        <v>0</v>
      </c>
      <c r="AA17" s="3">
        <v>0</v>
      </c>
      <c r="AB17" s="3">
        <v>0</v>
      </c>
      <c r="AC17" s="3">
        <v>0</v>
      </c>
      <c r="AD17" s="3">
        <v>0</v>
      </c>
    </row>
    <row r="18" spans="1:30" x14ac:dyDescent="0.2">
      <c r="A18" s="42" t="s">
        <v>110</v>
      </c>
      <c r="B18" s="3">
        <v>67.17</v>
      </c>
      <c r="C18" s="3">
        <v>61.94</v>
      </c>
      <c r="D18" s="3">
        <v>48.96</v>
      </c>
      <c r="E18" s="3">
        <v>53.14</v>
      </c>
      <c r="F18" s="3">
        <v>29.15</v>
      </c>
      <c r="G18" s="3">
        <v>1.81</v>
      </c>
      <c r="H18" s="3">
        <v>0</v>
      </c>
      <c r="I18" s="3">
        <v>0</v>
      </c>
      <c r="J18" s="3">
        <v>0</v>
      </c>
      <c r="K18" s="3">
        <v>0</v>
      </c>
      <c r="L18" s="3">
        <v>0</v>
      </c>
      <c r="M18" s="3">
        <v>0</v>
      </c>
      <c r="N18" s="3">
        <v>0</v>
      </c>
      <c r="O18" s="3">
        <v>0</v>
      </c>
      <c r="P18" s="3">
        <v>0</v>
      </c>
      <c r="Q18" s="3">
        <v>0</v>
      </c>
      <c r="R18" s="3">
        <v>0</v>
      </c>
      <c r="S18" s="3">
        <v>0</v>
      </c>
      <c r="T18" s="3">
        <v>0</v>
      </c>
      <c r="U18" s="3">
        <v>0</v>
      </c>
      <c r="V18" s="3">
        <v>0</v>
      </c>
      <c r="W18" s="3">
        <v>0</v>
      </c>
      <c r="X18" s="3">
        <v>0</v>
      </c>
      <c r="Y18" s="3">
        <v>0</v>
      </c>
      <c r="Z18" s="3">
        <v>0</v>
      </c>
      <c r="AA18" s="3">
        <v>0</v>
      </c>
      <c r="AB18" s="3">
        <v>0</v>
      </c>
      <c r="AC18" s="3">
        <v>0</v>
      </c>
      <c r="AD18" s="3">
        <v>0</v>
      </c>
    </row>
    <row r="19" spans="1:30" x14ac:dyDescent="0.2">
      <c r="A19" s="42" t="s">
        <v>261</v>
      </c>
      <c r="B19" s="3">
        <v>-25.06</v>
      </c>
      <c r="C19" s="3">
        <v>-19.43</v>
      </c>
      <c r="D19" s="3">
        <v>39.479999999999997</v>
      </c>
      <c r="E19" s="3">
        <v>6.41</v>
      </c>
      <c r="F19" s="3">
        <v>2.29</v>
      </c>
      <c r="G19" s="3">
        <v>-7.04</v>
      </c>
      <c r="H19" s="3">
        <v>28.36</v>
      </c>
      <c r="I19" s="3">
        <v>4.6500000000000004</v>
      </c>
      <c r="J19" s="3">
        <v>-6.95</v>
      </c>
      <c r="K19" s="3">
        <v>3.22</v>
      </c>
      <c r="L19" s="3">
        <v>3.56</v>
      </c>
      <c r="M19" s="3">
        <v>5.79</v>
      </c>
      <c r="N19" s="3">
        <v>-3.19</v>
      </c>
      <c r="O19" s="3">
        <v>-1.03</v>
      </c>
      <c r="P19" s="3">
        <v>4.13</v>
      </c>
      <c r="Q19" s="3">
        <v>3.98</v>
      </c>
      <c r="R19" s="3">
        <v>-0.504</v>
      </c>
      <c r="S19" s="3">
        <v>2.97</v>
      </c>
      <c r="T19" s="3">
        <v>2.96</v>
      </c>
      <c r="U19" s="3">
        <v>1.57</v>
      </c>
      <c r="V19" s="3">
        <v>4.3</v>
      </c>
      <c r="W19" s="3">
        <v>0.87</v>
      </c>
      <c r="X19" s="3">
        <v>-35.229999999999997</v>
      </c>
      <c r="Y19" s="3">
        <v>28.88</v>
      </c>
      <c r="Z19" s="3">
        <v>21.13</v>
      </c>
      <c r="AA19" s="3">
        <v>-95.88</v>
      </c>
      <c r="AB19" s="3">
        <v>2.04</v>
      </c>
      <c r="AC19" s="3">
        <v>12.85</v>
      </c>
      <c r="AD19" s="3">
        <v>0.63400000000000001</v>
      </c>
    </row>
    <row r="20" spans="1:30" x14ac:dyDescent="0.2">
      <c r="A20" s="44" t="s">
        <v>262</v>
      </c>
      <c r="B20" s="4">
        <v>-7663</v>
      </c>
      <c r="C20" s="4">
        <v>-1934</v>
      </c>
      <c r="D20" s="3">
        <v>-124.5</v>
      </c>
      <c r="E20" s="4">
        <v>-1322</v>
      </c>
      <c r="F20" s="3">
        <v>-811.4</v>
      </c>
      <c r="G20" s="3">
        <v>-19.95</v>
      </c>
      <c r="H20" s="3">
        <v>38.26</v>
      </c>
      <c r="I20" s="3">
        <v>20.48</v>
      </c>
      <c r="J20" s="3">
        <v>71.47</v>
      </c>
      <c r="K20" s="3">
        <v>114.9</v>
      </c>
      <c r="L20" s="3">
        <v>137.9</v>
      </c>
      <c r="M20" s="3">
        <v>11.05</v>
      </c>
      <c r="N20" s="3">
        <v>16.75</v>
      </c>
      <c r="O20" s="3">
        <v>32.21</v>
      </c>
      <c r="P20" s="3">
        <v>25.2</v>
      </c>
      <c r="Q20" s="3">
        <v>54.96</v>
      </c>
      <c r="R20" s="3">
        <v>85.8</v>
      </c>
      <c r="S20" s="3">
        <v>70.77</v>
      </c>
      <c r="T20" s="3">
        <v>91.19</v>
      </c>
      <c r="U20" s="3">
        <v>101.4</v>
      </c>
      <c r="V20" s="3">
        <v>98.17</v>
      </c>
      <c r="W20" s="3">
        <v>69.319999999999993</v>
      </c>
      <c r="X20" s="3">
        <v>-7.25</v>
      </c>
      <c r="Y20" s="3">
        <v>39.31</v>
      </c>
      <c r="Z20" s="3">
        <v>-45.59</v>
      </c>
      <c r="AA20" s="3">
        <v>-213.7</v>
      </c>
      <c r="AB20" s="3">
        <v>-23.26</v>
      </c>
      <c r="AC20" s="3">
        <v>10.3</v>
      </c>
      <c r="AD20" s="3">
        <v>0</v>
      </c>
    </row>
    <row r="21" spans="1:30" x14ac:dyDescent="0.2">
      <c r="A21" s="42" t="s">
        <v>113</v>
      </c>
      <c r="B21" s="4">
        <v>-2332</v>
      </c>
      <c r="C21" s="3">
        <v>-767.7</v>
      </c>
      <c r="D21" s="3">
        <v>-553.6</v>
      </c>
      <c r="E21" s="3">
        <v>147.30000000000001</v>
      </c>
      <c r="F21" s="3">
        <v>-275.89999999999998</v>
      </c>
      <c r="G21" s="3">
        <v>-12.43</v>
      </c>
      <c r="H21" s="3">
        <v>3.91</v>
      </c>
      <c r="I21" s="3">
        <v>-2.02</v>
      </c>
      <c r="J21" s="3">
        <v>53.28</v>
      </c>
      <c r="K21" s="3">
        <v>22.69</v>
      </c>
      <c r="L21" s="3">
        <v>31.93</v>
      </c>
      <c r="M21" s="3">
        <v>6.02</v>
      </c>
      <c r="N21" s="3">
        <v>-9.8000000000000007</v>
      </c>
      <c r="O21" s="3">
        <v>9.73</v>
      </c>
      <c r="P21" s="3">
        <v>3.39</v>
      </c>
      <c r="Q21" s="3">
        <v>11.17</v>
      </c>
      <c r="R21" s="3">
        <v>25.29</v>
      </c>
      <c r="S21" s="3">
        <v>29</v>
      </c>
      <c r="T21" s="3">
        <v>32.72</v>
      </c>
      <c r="U21" s="3">
        <v>30.48</v>
      </c>
      <c r="V21" s="3">
        <v>33.43</v>
      </c>
      <c r="W21" s="3">
        <v>-98.99</v>
      </c>
      <c r="X21" s="3">
        <v>-2.59</v>
      </c>
      <c r="Y21" s="3">
        <v>1.19</v>
      </c>
      <c r="Z21" s="3">
        <v>2.46</v>
      </c>
      <c r="AA21" s="3">
        <v>1.4</v>
      </c>
      <c r="AB21" s="3">
        <v>1.25</v>
      </c>
      <c r="AC21" s="3">
        <v>3.4</v>
      </c>
      <c r="AD21" s="3">
        <v>0</v>
      </c>
    </row>
    <row r="22" spans="1:30" ht="16" customHeight="1" x14ac:dyDescent="0.2">
      <c r="A22" s="42" t="s">
        <v>263</v>
      </c>
      <c r="B22" s="3">
        <v>10.65</v>
      </c>
      <c r="C22" s="3">
        <v>0</v>
      </c>
      <c r="D22" s="3">
        <v>0</v>
      </c>
      <c r="E22" s="3">
        <v>0</v>
      </c>
      <c r="F22" s="3">
        <v>0</v>
      </c>
      <c r="G22" s="3">
        <v>0</v>
      </c>
      <c r="H22" s="3">
        <v>0</v>
      </c>
      <c r="I22" s="3">
        <v>0</v>
      </c>
      <c r="J22" s="3">
        <v>0</v>
      </c>
      <c r="K22" s="3">
        <v>0</v>
      </c>
      <c r="L22" s="3">
        <v>0</v>
      </c>
      <c r="M22" s="3">
        <v>0</v>
      </c>
      <c r="N22" s="3">
        <v>-56.78</v>
      </c>
      <c r="O22" s="3">
        <v>1.93</v>
      </c>
      <c r="P22" s="3">
        <v>3.87</v>
      </c>
      <c r="Q22" s="3">
        <v>0</v>
      </c>
      <c r="R22" s="3">
        <v>-14.33</v>
      </c>
      <c r="S22" s="3">
        <v>-6.5000000000000002E-2</v>
      </c>
      <c r="T22" s="3">
        <v>0</v>
      </c>
      <c r="U22" s="3">
        <v>0</v>
      </c>
      <c r="V22" s="3">
        <v>0</v>
      </c>
      <c r="W22" s="3">
        <v>0</v>
      </c>
      <c r="X22" s="3">
        <v>-0.76500000000000001</v>
      </c>
      <c r="Y22" s="3">
        <v>0</v>
      </c>
      <c r="Z22" s="3">
        <v>32.81</v>
      </c>
      <c r="AA22" s="3">
        <v>-46.19</v>
      </c>
      <c r="AB22" s="3">
        <v>9.24</v>
      </c>
      <c r="AC22" s="3">
        <v>9.15</v>
      </c>
      <c r="AD22" s="3">
        <v>0.88500000000000001</v>
      </c>
    </row>
    <row r="23" spans="1:30" ht="16" customHeight="1" x14ac:dyDescent="0.2">
      <c r="A23" s="44" t="s">
        <v>17</v>
      </c>
      <c r="B23" s="4">
        <v>-5342</v>
      </c>
      <c r="C23" s="4">
        <v>-1167</v>
      </c>
      <c r="D23" s="3">
        <v>429.1</v>
      </c>
      <c r="E23" s="4">
        <v>-1470</v>
      </c>
      <c r="F23" s="3">
        <v>-535.5</v>
      </c>
      <c r="G23" s="3">
        <v>-7.52</v>
      </c>
      <c r="H23" s="3">
        <v>34.35</v>
      </c>
      <c r="I23" s="3">
        <v>22.5</v>
      </c>
      <c r="J23" s="3">
        <v>18.2</v>
      </c>
      <c r="K23" s="3">
        <v>92.24</v>
      </c>
      <c r="L23" s="3">
        <v>105.9</v>
      </c>
      <c r="M23" s="3">
        <v>5.04</v>
      </c>
      <c r="N23" s="3">
        <v>83.33</v>
      </c>
      <c r="O23" s="3">
        <v>20.55</v>
      </c>
      <c r="P23" s="3">
        <v>17.940000000000001</v>
      </c>
      <c r="Q23" s="3">
        <v>43.79</v>
      </c>
      <c r="R23" s="3">
        <v>74.84</v>
      </c>
      <c r="S23" s="3">
        <v>41.83</v>
      </c>
      <c r="T23" s="3">
        <v>58.47</v>
      </c>
      <c r="U23" s="3">
        <v>70.88</v>
      </c>
      <c r="V23" s="3">
        <v>64.739999999999995</v>
      </c>
      <c r="W23" s="3">
        <v>168.3</v>
      </c>
      <c r="X23" s="3">
        <v>-3.9</v>
      </c>
      <c r="Y23" s="3">
        <v>38.119999999999997</v>
      </c>
      <c r="Z23" s="3">
        <v>-80.87</v>
      </c>
      <c r="AA23" s="3">
        <v>-168.9</v>
      </c>
      <c r="AB23" s="3">
        <v>-33.74</v>
      </c>
      <c r="AC23" s="3">
        <v>-2.25</v>
      </c>
      <c r="AD23" s="3">
        <v>-0.88500000000000001</v>
      </c>
    </row>
    <row r="24" spans="1:30" x14ac:dyDescent="0.2">
      <c r="A24" s="42" t="s">
        <v>264</v>
      </c>
      <c r="B24" s="3">
        <v>52.91</v>
      </c>
      <c r="C24" s="3">
        <v>17.809999999999999</v>
      </c>
      <c r="D24" s="3">
        <v>14.53</v>
      </c>
      <c r="E24" s="3">
        <v>10.87</v>
      </c>
      <c r="F24" s="3">
        <v>11.36</v>
      </c>
      <c r="G24" s="3">
        <v>13.33</v>
      </c>
      <c r="H24" s="3">
        <v>8.59</v>
      </c>
      <c r="I24" s="3">
        <v>3.7</v>
      </c>
      <c r="J24" s="3">
        <v>15.53</v>
      </c>
      <c r="K24" s="3">
        <v>19.940000000000001</v>
      </c>
      <c r="L24" s="3">
        <v>21.21</v>
      </c>
      <c r="M24" s="3">
        <v>25.3</v>
      </c>
      <c r="N24" s="3">
        <v>26.4</v>
      </c>
      <c r="O24" s="3">
        <v>22.45</v>
      </c>
      <c r="P24" s="3">
        <v>17.27</v>
      </c>
      <c r="Q24" s="3">
        <v>12.8</v>
      </c>
      <c r="R24" s="3">
        <v>10.63</v>
      </c>
      <c r="S24" s="3">
        <v>6.4</v>
      </c>
      <c r="T24" s="3">
        <v>7.6</v>
      </c>
      <c r="U24" s="3">
        <v>7.63</v>
      </c>
      <c r="V24" s="3">
        <v>8.5</v>
      </c>
      <c r="W24" s="3">
        <v>8.32</v>
      </c>
      <c r="X24" s="3">
        <v>8.83</v>
      </c>
      <c r="Y24" s="3">
        <v>13.11</v>
      </c>
      <c r="Z24" s="3">
        <v>29.56</v>
      </c>
      <c r="AA24" s="3">
        <v>29.62</v>
      </c>
      <c r="AB24" s="3">
        <v>6.84</v>
      </c>
      <c r="AC24" s="3">
        <v>3.44</v>
      </c>
      <c r="AD24" s="3">
        <v>1.24</v>
      </c>
    </row>
    <row r="25" spans="1:30" x14ac:dyDescent="0.2">
      <c r="A25" s="42" t="s">
        <v>2</v>
      </c>
      <c r="B25" s="4">
        <v>-7518</v>
      </c>
      <c r="C25" s="4">
        <v>-1835</v>
      </c>
      <c r="D25" s="3">
        <v>-100.5</v>
      </c>
      <c r="E25" s="4">
        <v>-1265</v>
      </c>
      <c r="F25" s="3">
        <v>-773.2</v>
      </c>
      <c r="G25" s="3">
        <v>-0.29299999999999998</v>
      </c>
      <c r="H25" s="3">
        <v>7.59</v>
      </c>
      <c r="I25" s="3">
        <v>7.68</v>
      </c>
      <c r="J25" s="3">
        <v>88.75</v>
      </c>
      <c r="K25" s="3">
        <v>129.5</v>
      </c>
      <c r="L25" s="3">
        <v>155.19999999999999</v>
      </c>
      <c r="M25" s="3">
        <v>30.4</v>
      </c>
      <c r="N25" s="3">
        <v>45.84</v>
      </c>
      <c r="O25" s="3">
        <v>55.55</v>
      </c>
      <c r="P25" s="3">
        <v>38.14</v>
      </c>
      <c r="Q25" s="3">
        <v>63.39</v>
      </c>
      <c r="R25" s="3">
        <v>96.94</v>
      </c>
      <c r="S25" s="3">
        <v>74.2</v>
      </c>
      <c r="T25" s="3">
        <v>95.82</v>
      </c>
      <c r="U25" s="3">
        <v>107.4</v>
      </c>
      <c r="V25" s="3">
        <v>102.4</v>
      </c>
      <c r="W25" s="3">
        <v>76.77</v>
      </c>
      <c r="X25" s="3">
        <v>36.81</v>
      </c>
      <c r="Y25" s="3">
        <v>23.53</v>
      </c>
      <c r="Z25" s="3">
        <v>-37.159999999999997</v>
      </c>
      <c r="AA25" s="3">
        <v>-88.22</v>
      </c>
      <c r="AB25" s="3">
        <v>-18.46</v>
      </c>
      <c r="AC25" s="3">
        <v>0.88700000000000001</v>
      </c>
      <c r="AD25" s="3">
        <v>0.60899999999999999</v>
      </c>
    </row>
    <row r="26" spans="1:30" x14ac:dyDescent="0.2">
      <c r="A26" s="42" t="s">
        <v>265</v>
      </c>
      <c r="B26" s="3">
        <v>-21.81</v>
      </c>
      <c r="C26" s="3">
        <v>-6.06</v>
      </c>
      <c r="D26" s="3">
        <v>3.2</v>
      </c>
      <c r="E26" s="3">
        <v>-12.98</v>
      </c>
      <c r="F26" s="3">
        <v>-5.34</v>
      </c>
      <c r="G26" s="3">
        <v>-7.8E-2</v>
      </c>
      <c r="H26" s="3">
        <v>0.34</v>
      </c>
      <c r="I26" s="3">
        <v>0.2</v>
      </c>
      <c r="J26" s="3">
        <v>0.16</v>
      </c>
      <c r="K26" s="3">
        <v>0.81</v>
      </c>
      <c r="L26" s="3">
        <v>0.93</v>
      </c>
      <c r="M26" s="3">
        <v>4.4999999999999998E-2</v>
      </c>
      <c r="N26" s="3">
        <v>0.74</v>
      </c>
      <c r="O26" s="3">
        <v>0.19</v>
      </c>
      <c r="P26" s="3">
        <v>0.17</v>
      </c>
      <c r="Q26" s="3">
        <v>0.39</v>
      </c>
      <c r="R26" s="3">
        <v>0.63</v>
      </c>
      <c r="S26" s="3">
        <v>0.35</v>
      </c>
      <c r="T26" s="3">
        <v>0.47</v>
      </c>
      <c r="U26" s="3">
        <v>0.55000000000000004</v>
      </c>
      <c r="V26" s="3">
        <v>0.44</v>
      </c>
      <c r="W26" s="3">
        <v>1.05</v>
      </c>
      <c r="X26" s="3">
        <v>-2.5999999999999999E-2</v>
      </c>
      <c r="Y26" s="3">
        <v>0.32</v>
      </c>
      <c r="Z26" s="3">
        <v>-0.93</v>
      </c>
      <c r="AA26" s="3">
        <v>-3.28</v>
      </c>
      <c r="AB26" s="3">
        <v>-0.22</v>
      </c>
      <c r="AC26" s="3">
        <v>-1.4999999999999999E-2</v>
      </c>
      <c r="AD26" s="3">
        <v>-0.1</v>
      </c>
    </row>
    <row r="27" spans="1:30" x14ac:dyDescent="0.2">
      <c r="A27" s="42" t="s">
        <v>266</v>
      </c>
      <c r="B27" s="3">
        <v>-21.81</v>
      </c>
      <c r="C27" s="3">
        <v>-6.06</v>
      </c>
      <c r="D27" s="3">
        <v>2.64</v>
      </c>
      <c r="E27" s="3">
        <v>-12.98</v>
      </c>
      <c r="F27" s="3">
        <v>-5.34</v>
      </c>
      <c r="G27" s="3">
        <v>-7.8E-2</v>
      </c>
      <c r="H27" s="3">
        <v>0.33</v>
      </c>
      <c r="I27" s="3">
        <v>0.2</v>
      </c>
      <c r="J27" s="3">
        <v>0.16</v>
      </c>
      <c r="K27" s="3">
        <v>0.8</v>
      </c>
      <c r="L27" s="3">
        <v>0.92</v>
      </c>
      <c r="M27" s="3">
        <v>4.3999999999999997E-2</v>
      </c>
      <c r="N27" s="3">
        <v>0.74</v>
      </c>
      <c r="O27" s="3">
        <v>0.18</v>
      </c>
      <c r="P27" s="3">
        <v>0.16</v>
      </c>
      <c r="Q27" s="3">
        <v>0.37</v>
      </c>
      <c r="R27" s="3">
        <v>0.61</v>
      </c>
      <c r="S27" s="3">
        <v>0.34</v>
      </c>
      <c r="T27" s="3">
        <v>0.46</v>
      </c>
      <c r="U27" s="3">
        <v>0.52</v>
      </c>
      <c r="V27" s="3">
        <v>0.42</v>
      </c>
      <c r="W27" s="3">
        <v>0.98</v>
      </c>
      <c r="X27" s="3">
        <v>-2.5999999999999999E-2</v>
      </c>
      <c r="Y27" s="3">
        <v>0.31</v>
      </c>
      <c r="Z27" s="3">
        <v>-0.93</v>
      </c>
      <c r="AA27" s="3">
        <v>-3.28</v>
      </c>
      <c r="AB27" s="3">
        <v>-0.22</v>
      </c>
      <c r="AC27" s="3">
        <v>-1.4999999999999999E-2</v>
      </c>
      <c r="AD27" s="3">
        <v>-0.1</v>
      </c>
    </row>
    <row r="28" spans="1:30" x14ac:dyDescent="0.2">
      <c r="A28" s="42" t="s">
        <v>267</v>
      </c>
      <c r="B28" s="3">
        <v>256.5</v>
      </c>
      <c r="C28" s="3">
        <v>192.5</v>
      </c>
      <c r="D28" s="3">
        <v>136.69999999999999</v>
      </c>
      <c r="E28" s="3">
        <v>113.2</v>
      </c>
      <c r="F28" s="3">
        <v>100.2</v>
      </c>
      <c r="G28" s="3">
        <v>96.84</v>
      </c>
      <c r="H28" s="3">
        <v>102.6</v>
      </c>
      <c r="I28" s="3">
        <v>113.8</v>
      </c>
      <c r="J28" s="3">
        <v>114.4</v>
      </c>
      <c r="K28" s="3">
        <v>114.2</v>
      </c>
      <c r="L28" s="3">
        <v>113.5</v>
      </c>
      <c r="M28" s="3">
        <v>113</v>
      </c>
      <c r="N28" s="3">
        <v>113</v>
      </c>
      <c r="O28" s="3">
        <v>110</v>
      </c>
      <c r="P28" s="3">
        <v>107.2</v>
      </c>
      <c r="Q28" s="3">
        <v>113.8</v>
      </c>
      <c r="R28" s="3">
        <v>119.1</v>
      </c>
      <c r="S28" s="3">
        <v>118.9</v>
      </c>
      <c r="T28" s="3">
        <v>123.2</v>
      </c>
      <c r="U28" s="3">
        <v>129.9</v>
      </c>
      <c r="V28" s="3">
        <v>147.69999999999999</v>
      </c>
      <c r="W28" s="3">
        <v>160.6</v>
      </c>
      <c r="X28" s="3">
        <v>148</v>
      </c>
      <c r="Y28" s="3">
        <v>116.8</v>
      </c>
      <c r="Z28" s="3">
        <v>86.59</v>
      </c>
      <c r="AA28" s="3">
        <v>79.78</v>
      </c>
      <c r="AB28" s="3">
        <v>154.1</v>
      </c>
      <c r="AC28" s="3">
        <v>134</v>
      </c>
      <c r="AD28" s="3">
        <v>118</v>
      </c>
    </row>
    <row r="29" spans="1:30" x14ac:dyDescent="0.2">
      <c r="A29" s="42" t="s">
        <v>268</v>
      </c>
      <c r="B29" s="3">
        <v>256.5</v>
      </c>
      <c r="C29" s="3">
        <v>192.5</v>
      </c>
      <c r="D29" s="3">
        <v>165.7</v>
      </c>
      <c r="E29" s="3">
        <v>113.2</v>
      </c>
      <c r="F29" s="3">
        <v>100.2</v>
      </c>
      <c r="G29" s="3">
        <v>96.84</v>
      </c>
      <c r="H29" s="3">
        <v>103.3</v>
      </c>
      <c r="I29" s="3">
        <v>114.1</v>
      </c>
      <c r="J29" s="3">
        <v>115.5</v>
      </c>
      <c r="K29" s="3">
        <v>115.2</v>
      </c>
      <c r="L29" s="3">
        <v>115.4</v>
      </c>
      <c r="M29" s="3">
        <v>113.6</v>
      </c>
      <c r="N29" s="3">
        <v>113</v>
      </c>
      <c r="O29" s="3">
        <v>111.7</v>
      </c>
      <c r="P29" s="3">
        <v>110.7</v>
      </c>
      <c r="Q29" s="3">
        <v>117.8</v>
      </c>
      <c r="R29" s="3">
        <v>122.8</v>
      </c>
      <c r="S29" s="3">
        <v>123</v>
      </c>
      <c r="T29" s="3">
        <v>128.5</v>
      </c>
      <c r="U29" s="3">
        <v>136.30000000000001</v>
      </c>
      <c r="V29" s="3">
        <v>154.4</v>
      </c>
      <c r="W29" s="3">
        <v>171.2</v>
      </c>
      <c r="X29" s="3">
        <v>148</v>
      </c>
      <c r="Y29" s="3">
        <v>119.9</v>
      </c>
      <c r="Z29" s="3">
        <v>86.59</v>
      </c>
      <c r="AA29" s="3">
        <v>79.78</v>
      </c>
      <c r="AB29" s="3">
        <v>154.1</v>
      </c>
      <c r="AC29" s="3">
        <v>134</v>
      </c>
      <c r="AD29" s="3">
        <v>118</v>
      </c>
    </row>
    <row r="48" customFormat="1" ht="16" customHeight="1" x14ac:dyDescent="0.2"/>
    <row r="49" spans="1:29" ht="16" customHeight="1" x14ac:dyDescent="0.2"/>
    <row r="53" spans="1:29" ht="17" customHeight="1" x14ac:dyDescent="0.2"/>
    <row r="54" spans="1:29" ht="17" customHeight="1" x14ac:dyDescent="0.2"/>
    <row r="55" spans="1:29" x14ac:dyDescent="0.2">
      <c r="A55" s="79" t="s">
        <v>253</v>
      </c>
      <c r="B55" s="1">
        <v>2024</v>
      </c>
      <c r="C55" s="1">
        <v>2023</v>
      </c>
      <c r="D55" s="1">
        <v>2022</v>
      </c>
      <c r="E55" s="1">
        <v>2021</v>
      </c>
      <c r="F55" s="1">
        <v>2020</v>
      </c>
      <c r="G55" s="1">
        <v>2019</v>
      </c>
      <c r="H55" s="1">
        <v>2018</v>
      </c>
      <c r="I55" s="1">
        <v>2017</v>
      </c>
      <c r="J55" s="1">
        <v>2016</v>
      </c>
      <c r="K55" s="1">
        <v>2015</v>
      </c>
      <c r="L55" s="1">
        <v>2014</v>
      </c>
      <c r="M55" s="1">
        <v>2013</v>
      </c>
      <c r="N55" s="1">
        <v>2012</v>
      </c>
      <c r="O55" s="1">
        <v>2011</v>
      </c>
      <c r="P55" s="1">
        <v>2010</v>
      </c>
      <c r="Q55" s="1">
        <v>2009</v>
      </c>
      <c r="R55" s="1">
        <v>2008</v>
      </c>
      <c r="S55" s="1">
        <v>2007</v>
      </c>
      <c r="T55" s="1">
        <v>2006</v>
      </c>
      <c r="U55" s="1">
        <v>2005</v>
      </c>
      <c r="V55" s="1">
        <v>2004</v>
      </c>
      <c r="W55" s="1">
        <v>2003</v>
      </c>
      <c r="X55" s="1">
        <v>2002</v>
      </c>
      <c r="Y55" s="1">
        <v>2001</v>
      </c>
      <c r="Z55" s="1">
        <v>2000</v>
      </c>
      <c r="AA55" s="1">
        <v>1999</v>
      </c>
      <c r="AB55" s="1">
        <v>1998</v>
      </c>
      <c r="AC55" s="1">
        <v>1997</v>
      </c>
    </row>
    <row r="56" spans="1:29" x14ac:dyDescent="0.2">
      <c r="A56" s="79"/>
      <c r="B56" s="41">
        <v>46022</v>
      </c>
      <c r="C56" s="41">
        <v>46022</v>
      </c>
      <c r="D56" s="41">
        <v>46022</v>
      </c>
      <c r="E56" s="41">
        <v>46022</v>
      </c>
      <c r="F56" s="41">
        <v>46022</v>
      </c>
      <c r="G56" s="41">
        <v>46022</v>
      </c>
      <c r="H56" s="41">
        <v>46022</v>
      </c>
      <c r="I56" s="41">
        <v>46022</v>
      </c>
      <c r="J56" s="41">
        <v>46022</v>
      </c>
      <c r="K56" s="41">
        <v>46022</v>
      </c>
      <c r="L56" s="41">
        <v>46022</v>
      </c>
      <c r="M56" s="41">
        <v>46022</v>
      </c>
      <c r="N56" s="41">
        <v>46022</v>
      </c>
      <c r="O56" s="41">
        <v>46022</v>
      </c>
      <c r="P56" s="41">
        <v>46022</v>
      </c>
      <c r="Q56" s="41">
        <v>46022</v>
      </c>
      <c r="R56" s="41">
        <v>46022</v>
      </c>
      <c r="S56" s="41">
        <v>46022</v>
      </c>
      <c r="T56" s="41">
        <v>46022</v>
      </c>
      <c r="U56" s="41">
        <v>46022</v>
      </c>
      <c r="V56" s="41">
        <v>46022</v>
      </c>
      <c r="W56" s="41">
        <v>46022</v>
      </c>
      <c r="X56" s="41">
        <v>46022</v>
      </c>
      <c r="Y56" s="41">
        <v>46022</v>
      </c>
      <c r="Z56" s="41">
        <v>46022</v>
      </c>
      <c r="AA56" s="41">
        <v>46022</v>
      </c>
      <c r="AB56" s="41">
        <v>46022</v>
      </c>
      <c r="AC56" s="41">
        <v>46022</v>
      </c>
    </row>
    <row r="57" spans="1:29" x14ac:dyDescent="0.2">
      <c r="A57" s="42" t="s">
        <v>269</v>
      </c>
      <c r="B57" s="43">
        <v>45706</v>
      </c>
      <c r="C57" s="43">
        <v>45337</v>
      </c>
      <c r="D57" s="43">
        <v>44973</v>
      </c>
      <c r="E57" s="43">
        <v>44608</v>
      </c>
      <c r="F57" s="43">
        <v>44239</v>
      </c>
      <c r="G57" s="43">
        <v>43875</v>
      </c>
      <c r="H57" s="43">
        <v>43516</v>
      </c>
      <c r="I57" s="43">
        <v>43138</v>
      </c>
      <c r="J57" s="43">
        <v>42776</v>
      </c>
      <c r="K57" s="43">
        <v>42426</v>
      </c>
      <c r="L57" s="43">
        <v>42061</v>
      </c>
      <c r="M57" s="43">
        <v>41682</v>
      </c>
      <c r="N57" s="43">
        <v>41318</v>
      </c>
      <c r="O57" s="43">
        <v>40956</v>
      </c>
      <c r="P57" s="43">
        <v>40592</v>
      </c>
      <c r="Q57" s="43">
        <v>40233</v>
      </c>
      <c r="R57" s="43">
        <v>39868</v>
      </c>
      <c r="S57" s="43">
        <v>39497</v>
      </c>
      <c r="T57" s="43">
        <v>39136</v>
      </c>
      <c r="U57" s="43">
        <v>38786</v>
      </c>
      <c r="V57" s="43">
        <v>38427</v>
      </c>
      <c r="W57" s="43">
        <v>38058</v>
      </c>
      <c r="X57" s="43">
        <v>37694</v>
      </c>
      <c r="Y57" s="43">
        <v>37334</v>
      </c>
      <c r="Z57" s="43">
        <v>36983</v>
      </c>
      <c r="AA57" s="43">
        <v>36629</v>
      </c>
      <c r="AB57" s="43">
        <v>36244</v>
      </c>
      <c r="AC57" s="43">
        <v>35795</v>
      </c>
    </row>
    <row r="58" spans="1:29" x14ac:dyDescent="0.2">
      <c r="A58" s="42" t="s">
        <v>126</v>
      </c>
      <c r="B58" s="3">
        <v>252.3</v>
      </c>
      <c r="C58" s="3">
        <v>267.89999999999998</v>
      </c>
      <c r="D58" s="3">
        <v>264.60000000000002</v>
      </c>
      <c r="E58" s="3">
        <v>268</v>
      </c>
      <c r="F58" s="3">
        <v>272.60000000000002</v>
      </c>
      <c r="G58" s="3">
        <v>753.4</v>
      </c>
      <c r="H58" s="3">
        <v>778.4</v>
      </c>
      <c r="I58" s="3">
        <v>763.6</v>
      </c>
      <c r="J58" s="3">
        <v>685</v>
      </c>
      <c r="K58" s="3">
        <v>565.29999999999995</v>
      </c>
      <c r="L58" s="3">
        <v>462.4</v>
      </c>
      <c r="M58" s="3">
        <v>479.9</v>
      </c>
      <c r="N58" s="3">
        <v>362</v>
      </c>
      <c r="O58" s="3">
        <v>343.2</v>
      </c>
      <c r="P58" s="3">
        <v>296.89999999999998</v>
      </c>
      <c r="Q58" s="3">
        <v>305.2</v>
      </c>
      <c r="R58" s="3">
        <v>214.4</v>
      </c>
      <c r="S58" s="3">
        <v>182.7</v>
      </c>
      <c r="T58" s="3">
        <v>175.4</v>
      </c>
      <c r="U58" s="3">
        <v>173.4</v>
      </c>
      <c r="V58" s="3">
        <v>175.2</v>
      </c>
      <c r="W58" s="3">
        <v>89.32</v>
      </c>
      <c r="X58" s="3">
        <v>54.98</v>
      </c>
      <c r="Y58" s="3">
        <v>67.94</v>
      </c>
      <c r="Z58" s="3">
        <v>154.9</v>
      </c>
      <c r="AA58" s="3">
        <v>121.4</v>
      </c>
      <c r="AB58" s="3">
        <v>63.5</v>
      </c>
      <c r="AC58" s="3">
        <v>21</v>
      </c>
    </row>
    <row r="59" spans="1:29" x14ac:dyDescent="0.2">
      <c r="A59" s="44" t="s">
        <v>270</v>
      </c>
      <c r="B59" s="3">
        <v>38.119999999999997</v>
      </c>
      <c r="C59" s="3">
        <v>46.82</v>
      </c>
      <c r="D59" s="3">
        <v>43.84</v>
      </c>
      <c r="E59" s="3">
        <v>63.36</v>
      </c>
      <c r="F59" s="3">
        <v>59.67</v>
      </c>
      <c r="G59" s="3">
        <v>565.6</v>
      </c>
      <c r="H59" s="3">
        <v>576.1</v>
      </c>
      <c r="I59" s="3">
        <v>675.2</v>
      </c>
      <c r="J59" s="3">
        <v>589.4</v>
      </c>
      <c r="K59" s="3">
        <v>485.7</v>
      </c>
      <c r="L59" s="3">
        <v>345.5</v>
      </c>
      <c r="M59" s="3">
        <v>357.4</v>
      </c>
      <c r="N59" s="3">
        <v>223.1</v>
      </c>
      <c r="O59" s="3">
        <v>199.6</v>
      </c>
      <c r="P59" s="3">
        <v>174.1</v>
      </c>
      <c r="Q59" s="3">
        <v>224.8</v>
      </c>
      <c r="R59" s="3">
        <v>122.9</v>
      </c>
      <c r="S59" s="3">
        <v>85.19</v>
      </c>
      <c r="T59" s="3">
        <v>79</v>
      </c>
      <c r="U59" s="3">
        <v>96.08</v>
      </c>
      <c r="V59" s="3">
        <v>106.1</v>
      </c>
      <c r="W59" s="3">
        <v>51.88</v>
      </c>
      <c r="X59" s="3">
        <v>15.08</v>
      </c>
      <c r="Y59" s="3">
        <v>39.31</v>
      </c>
      <c r="Z59" s="3">
        <v>68.77</v>
      </c>
      <c r="AA59" s="3">
        <v>25.94</v>
      </c>
      <c r="AB59" s="3">
        <v>27.5</v>
      </c>
      <c r="AC59" s="3">
        <v>3.5</v>
      </c>
    </row>
    <row r="60" spans="1:29" x14ac:dyDescent="0.2">
      <c r="A60" s="3" t="s">
        <v>11</v>
      </c>
      <c r="B60" s="3">
        <v>38.119999999999997</v>
      </c>
      <c r="C60" s="3">
        <v>46.82</v>
      </c>
      <c r="D60" s="3">
        <v>43.84</v>
      </c>
      <c r="E60" s="3">
        <v>63.36</v>
      </c>
      <c r="F60" s="3">
        <v>59.67</v>
      </c>
      <c r="G60" s="3">
        <v>456.7</v>
      </c>
      <c r="H60" s="3">
        <v>109.9</v>
      </c>
      <c r="I60" s="3">
        <v>420.2</v>
      </c>
      <c r="J60" s="3">
        <v>402</v>
      </c>
      <c r="K60" s="3">
        <v>292.3</v>
      </c>
      <c r="L60" s="3">
        <v>146.9</v>
      </c>
      <c r="M60" s="3">
        <v>220.2</v>
      </c>
      <c r="N60" s="3">
        <v>223</v>
      </c>
      <c r="O60" s="3">
        <v>199.6</v>
      </c>
      <c r="P60" s="3">
        <v>174.1</v>
      </c>
      <c r="Q60" s="3">
        <v>224.8</v>
      </c>
      <c r="R60" s="3">
        <v>122.9</v>
      </c>
      <c r="S60" s="3">
        <v>85.19</v>
      </c>
      <c r="T60" s="3">
        <v>78.98</v>
      </c>
      <c r="U60" s="3">
        <v>42.32</v>
      </c>
      <c r="V60" s="3">
        <v>68.31</v>
      </c>
      <c r="W60" s="3">
        <v>51.88</v>
      </c>
      <c r="X60" s="3">
        <v>15.04</v>
      </c>
      <c r="Y60" s="3">
        <v>38.409999999999997</v>
      </c>
      <c r="Z60" s="3">
        <v>67.69</v>
      </c>
      <c r="AA60" s="3">
        <v>25.94</v>
      </c>
      <c r="AB60" s="3">
        <v>27.5</v>
      </c>
      <c r="AC60" s="3">
        <v>3.5</v>
      </c>
    </row>
    <row r="61" spans="1:29" x14ac:dyDescent="0.2">
      <c r="A61" s="3" t="s">
        <v>271</v>
      </c>
      <c r="B61" s="3">
        <v>0</v>
      </c>
      <c r="C61" s="3">
        <v>0</v>
      </c>
      <c r="D61" s="3">
        <v>0</v>
      </c>
      <c r="E61" s="3">
        <v>0</v>
      </c>
      <c r="F61" s="3">
        <v>0</v>
      </c>
      <c r="G61" s="3">
        <v>108.9</v>
      </c>
      <c r="H61" s="3">
        <v>466.2</v>
      </c>
      <c r="I61" s="3">
        <v>254.9</v>
      </c>
      <c r="J61" s="3">
        <v>187.4</v>
      </c>
      <c r="K61" s="3">
        <v>193.3</v>
      </c>
      <c r="L61" s="3">
        <v>198.5</v>
      </c>
      <c r="M61" s="3">
        <v>137.19999999999999</v>
      </c>
      <c r="N61" s="3">
        <v>3.5999999999999997E-2</v>
      </c>
      <c r="O61" s="3">
        <v>0.28899999999999998</v>
      </c>
      <c r="P61" s="3">
        <v>0.28399999999999997</v>
      </c>
      <c r="Q61" s="3">
        <v>0.54900000000000004</v>
      </c>
      <c r="R61" s="3">
        <v>0.61899999999999999</v>
      </c>
      <c r="S61" s="3">
        <v>2.98</v>
      </c>
      <c r="T61" s="3">
        <v>1.6E-2</v>
      </c>
      <c r="U61" s="3">
        <v>53.76</v>
      </c>
      <c r="V61" s="3">
        <v>37.82</v>
      </c>
      <c r="W61" s="3">
        <v>0</v>
      </c>
      <c r="X61" s="3">
        <v>4.3999999999999997E-2</v>
      </c>
      <c r="Y61" s="3">
        <v>0.90400000000000003</v>
      </c>
      <c r="Z61" s="3">
        <v>1.08</v>
      </c>
      <c r="AA61" s="3">
        <v>0</v>
      </c>
      <c r="AB61" s="3">
        <v>0</v>
      </c>
      <c r="AC61" s="3">
        <v>0</v>
      </c>
    </row>
    <row r="62" spans="1:29" x14ac:dyDescent="0.2">
      <c r="A62" s="42" t="s">
        <v>123</v>
      </c>
      <c r="B62" s="3">
        <v>181.2</v>
      </c>
      <c r="C62" s="3">
        <v>183.8</v>
      </c>
      <c r="D62" s="3">
        <v>189.3</v>
      </c>
      <c r="E62" s="3">
        <v>189.3</v>
      </c>
      <c r="F62" s="3">
        <v>197.5</v>
      </c>
      <c r="G62" s="3">
        <v>163.5</v>
      </c>
      <c r="H62" s="3">
        <v>171.4</v>
      </c>
      <c r="I62" s="3">
        <v>166.6</v>
      </c>
      <c r="J62" s="3">
        <v>83.32</v>
      </c>
      <c r="K62" s="3">
        <v>68.150000000000006</v>
      </c>
      <c r="L62" s="3">
        <v>78.63</v>
      </c>
      <c r="M62" s="3">
        <v>86.18</v>
      </c>
      <c r="N62" s="3">
        <v>89.04</v>
      </c>
      <c r="O62" s="3">
        <v>94.72</v>
      </c>
      <c r="P62" s="3">
        <v>82.06</v>
      </c>
      <c r="Q62" s="3">
        <v>56.4</v>
      </c>
      <c r="R62" s="3">
        <v>49.67</v>
      </c>
      <c r="S62" s="3">
        <v>52.21</v>
      </c>
      <c r="T62" s="3">
        <v>54.47</v>
      </c>
      <c r="U62" s="3">
        <v>43.05</v>
      </c>
      <c r="V62" s="3">
        <v>40.92</v>
      </c>
      <c r="W62" s="3">
        <v>30.99</v>
      </c>
      <c r="X62" s="3">
        <v>28.2</v>
      </c>
      <c r="Y62" s="3">
        <v>22.28</v>
      </c>
      <c r="Z62" s="3">
        <v>47.92</v>
      </c>
      <c r="AA62" s="3">
        <v>37.590000000000003</v>
      </c>
      <c r="AB62" s="3">
        <v>25.38</v>
      </c>
      <c r="AC62" s="3">
        <v>16.100000000000001</v>
      </c>
    </row>
    <row r="63" spans="1:29" x14ac:dyDescent="0.2">
      <c r="A63" s="42" t="s">
        <v>124</v>
      </c>
      <c r="B63" s="3">
        <v>0</v>
      </c>
      <c r="C63" s="3">
        <v>0</v>
      </c>
      <c r="D63" s="3">
        <v>0</v>
      </c>
      <c r="E63" s="3">
        <v>0</v>
      </c>
      <c r="F63" s="3">
        <v>0</v>
      </c>
      <c r="G63" s="3">
        <v>0</v>
      </c>
      <c r="H63" s="3">
        <v>0</v>
      </c>
      <c r="I63" s="3">
        <v>0</v>
      </c>
      <c r="J63" s="3">
        <v>0</v>
      </c>
      <c r="K63" s="3">
        <v>0</v>
      </c>
      <c r="L63" s="3">
        <v>0</v>
      </c>
      <c r="M63" s="3">
        <v>0</v>
      </c>
      <c r="N63" s="3">
        <v>0</v>
      </c>
      <c r="O63" s="3">
        <v>0</v>
      </c>
      <c r="P63" s="3">
        <v>40.42</v>
      </c>
      <c r="Q63" s="3">
        <v>0</v>
      </c>
      <c r="R63" s="3">
        <v>36.880000000000003</v>
      </c>
      <c r="S63" s="3">
        <v>0</v>
      </c>
      <c r="T63" s="3">
        <v>0</v>
      </c>
      <c r="U63" s="3">
        <v>0</v>
      </c>
      <c r="V63" s="3">
        <v>0</v>
      </c>
      <c r="W63" s="3">
        <v>0</v>
      </c>
      <c r="X63" s="3">
        <v>0</v>
      </c>
      <c r="Y63" s="3">
        <v>0</v>
      </c>
      <c r="Z63" s="3">
        <v>0</v>
      </c>
      <c r="AA63" s="3">
        <v>0</v>
      </c>
      <c r="AB63" s="3">
        <v>0</v>
      </c>
      <c r="AC63" s="3">
        <v>0</v>
      </c>
    </row>
    <row r="64" spans="1:29" x14ac:dyDescent="0.2">
      <c r="A64" s="42" t="s">
        <v>125</v>
      </c>
      <c r="B64" s="3">
        <v>33</v>
      </c>
      <c r="C64" s="3">
        <v>37.26</v>
      </c>
      <c r="D64" s="3">
        <v>31.45</v>
      </c>
      <c r="E64" s="3">
        <v>15.33</v>
      </c>
      <c r="F64" s="3">
        <v>15.48</v>
      </c>
      <c r="G64" s="3">
        <v>24.28</v>
      </c>
      <c r="H64" s="3">
        <v>30.93</v>
      </c>
      <c r="I64" s="3">
        <v>-78.12</v>
      </c>
      <c r="J64" s="3">
        <v>12.29</v>
      </c>
      <c r="K64" s="3">
        <v>11.5</v>
      </c>
      <c r="L64" s="3">
        <v>38.270000000000003</v>
      </c>
      <c r="M64" s="3">
        <v>36.4</v>
      </c>
      <c r="N64" s="3">
        <v>49.93</v>
      </c>
      <c r="O64" s="3">
        <v>48.85</v>
      </c>
      <c r="P64" s="3">
        <v>0.28399999999999997</v>
      </c>
      <c r="Q64" s="3">
        <v>24.05</v>
      </c>
      <c r="R64" s="3">
        <v>4.96</v>
      </c>
      <c r="S64" s="3">
        <v>45.31</v>
      </c>
      <c r="T64" s="3">
        <v>41.94</v>
      </c>
      <c r="U64" s="3">
        <v>34.26</v>
      </c>
      <c r="V64" s="3">
        <v>28.13</v>
      </c>
      <c r="W64" s="3">
        <v>6.44</v>
      </c>
      <c r="X64" s="3">
        <v>11.7</v>
      </c>
      <c r="Y64" s="3">
        <v>6.34</v>
      </c>
      <c r="Z64" s="3">
        <v>38.18</v>
      </c>
      <c r="AA64" s="3">
        <v>57.88</v>
      </c>
      <c r="AB64" s="3">
        <v>10.62</v>
      </c>
      <c r="AC64" s="3">
        <v>1.4</v>
      </c>
    </row>
    <row r="65" spans="1:29" ht="16" customHeight="1" x14ac:dyDescent="0.2">
      <c r="A65" s="42" t="s">
        <v>129</v>
      </c>
      <c r="B65" s="4">
        <v>25844</v>
      </c>
      <c r="C65" s="4">
        <v>4763</v>
      </c>
      <c r="D65" s="4">
        <v>2410</v>
      </c>
      <c r="E65" s="4">
        <v>3557</v>
      </c>
      <c r="F65" s="4">
        <v>1466</v>
      </c>
      <c r="G65" s="3">
        <v>916.6</v>
      </c>
      <c r="H65" s="3">
        <v>855.8</v>
      </c>
      <c r="I65" s="3">
        <v>835.7</v>
      </c>
      <c r="J65" s="3">
        <v>768.3</v>
      </c>
      <c r="K65" s="3">
        <v>656.9</v>
      </c>
      <c r="L65" s="3">
        <v>558.79999999999995</v>
      </c>
      <c r="M65" s="3">
        <v>585.5</v>
      </c>
      <c r="N65" s="3">
        <v>477.9</v>
      </c>
      <c r="O65" s="3">
        <v>453.9</v>
      </c>
      <c r="P65" s="3">
        <v>381.6</v>
      </c>
      <c r="Q65" s="3">
        <v>383.3</v>
      </c>
      <c r="R65" s="3">
        <v>292.10000000000002</v>
      </c>
      <c r="S65" s="3">
        <v>241.4</v>
      </c>
      <c r="T65" s="3">
        <v>248.8</v>
      </c>
      <c r="U65" s="3">
        <v>277.8</v>
      </c>
      <c r="V65" s="3">
        <v>337</v>
      </c>
      <c r="W65" s="3">
        <v>114.8</v>
      </c>
      <c r="X65" s="3">
        <v>79.87</v>
      </c>
      <c r="Y65" s="3">
        <v>103.6</v>
      </c>
      <c r="Z65" s="3">
        <v>259.10000000000002</v>
      </c>
      <c r="AA65" s="3">
        <v>203.4</v>
      </c>
      <c r="AB65" s="3">
        <v>82.7</v>
      </c>
      <c r="AC65" s="3">
        <v>30.1</v>
      </c>
    </row>
    <row r="66" spans="1:29" ht="16" customHeight="1" x14ac:dyDescent="0.2">
      <c r="A66" s="44" t="s">
        <v>272</v>
      </c>
      <c r="B66" s="4">
        <v>25591</v>
      </c>
      <c r="C66" s="4">
        <v>4495</v>
      </c>
      <c r="D66" s="4">
        <v>2146</v>
      </c>
      <c r="E66" s="4">
        <v>3289</v>
      </c>
      <c r="F66" s="4">
        <v>1193</v>
      </c>
      <c r="G66" s="3">
        <v>163.1</v>
      </c>
      <c r="H66" s="3">
        <v>77.37</v>
      </c>
      <c r="I66" s="3">
        <v>72.12</v>
      </c>
      <c r="J66" s="3">
        <v>83.33</v>
      </c>
      <c r="K66" s="3">
        <v>91.58</v>
      </c>
      <c r="L66" s="3">
        <v>96.43</v>
      </c>
      <c r="M66" s="3">
        <v>105.6</v>
      </c>
      <c r="N66" s="3">
        <v>107.1</v>
      </c>
      <c r="O66" s="3">
        <v>110.6</v>
      </c>
      <c r="P66" s="3">
        <v>84.71</v>
      </c>
      <c r="Q66" s="3">
        <v>78.11</v>
      </c>
      <c r="R66" s="3">
        <v>77.709999999999994</v>
      </c>
      <c r="S66" s="3">
        <v>58.66</v>
      </c>
      <c r="T66" s="3">
        <v>73.41</v>
      </c>
      <c r="U66" s="3">
        <v>104.4</v>
      </c>
      <c r="V66" s="3">
        <v>161.80000000000001</v>
      </c>
      <c r="W66" s="3">
        <v>25.48</v>
      </c>
      <c r="X66" s="3">
        <v>24.9</v>
      </c>
      <c r="Y66" s="3">
        <v>35.700000000000003</v>
      </c>
      <c r="Z66" s="3">
        <v>104.2</v>
      </c>
      <c r="AA66" s="3">
        <v>81.96</v>
      </c>
      <c r="AB66" s="3">
        <v>19.2</v>
      </c>
      <c r="AC66" s="3">
        <v>9.1</v>
      </c>
    </row>
    <row r="67" spans="1:29" x14ac:dyDescent="0.2">
      <c r="A67" s="3" t="s">
        <v>273</v>
      </c>
      <c r="B67" s="3">
        <v>80.89</v>
      </c>
      <c r="C67" s="3">
        <v>86.28</v>
      </c>
      <c r="D67" s="3">
        <v>93.61</v>
      </c>
      <c r="E67" s="3">
        <v>103.3</v>
      </c>
      <c r="F67" s="3">
        <v>116.6</v>
      </c>
      <c r="G67" s="3">
        <v>135.69999999999999</v>
      </c>
      <c r="H67" s="3">
        <v>51.92</v>
      </c>
      <c r="I67" s="3">
        <v>53.36</v>
      </c>
      <c r="J67" s="3">
        <v>57.44</v>
      </c>
      <c r="K67" s="3">
        <v>65.66</v>
      </c>
      <c r="L67" s="3">
        <v>77.849999999999994</v>
      </c>
      <c r="M67" s="3">
        <v>85.44</v>
      </c>
      <c r="N67" s="3">
        <v>96.75</v>
      </c>
      <c r="O67" s="3">
        <v>95.31</v>
      </c>
      <c r="P67" s="3">
        <v>65.03</v>
      </c>
      <c r="Q67" s="3">
        <v>54.91</v>
      </c>
      <c r="R67" s="3">
        <v>8.98</v>
      </c>
      <c r="S67" s="3">
        <v>9.5399999999999991</v>
      </c>
      <c r="T67" s="3">
        <v>11.1</v>
      </c>
      <c r="U67" s="3">
        <v>12.03</v>
      </c>
      <c r="V67" s="3">
        <v>16.100000000000001</v>
      </c>
      <c r="W67" s="3">
        <v>16.11</v>
      </c>
      <c r="X67" s="3">
        <v>18.47</v>
      </c>
      <c r="Y67" s="3">
        <v>26.51</v>
      </c>
      <c r="Z67" s="3">
        <v>61.41</v>
      </c>
      <c r="AA67" s="3">
        <v>30.59</v>
      </c>
      <c r="AB67" s="3">
        <v>13.8</v>
      </c>
      <c r="AC67" s="3">
        <v>6.9</v>
      </c>
    </row>
    <row r="68" spans="1:29" x14ac:dyDescent="0.2">
      <c r="A68" s="45" t="s">
        <v>274</v>
      </c>
      <c r="B68" s="4">
        <v>23909</v>
      </c>
      <c r="C68" s="4">
        <v>3626</v>
      </c>
      <c r="D68" s="4">
        <v>1840</v>
      </c>
      <c r="E68" s="4">
        <v>2850</v>
      </c>
      <c r="F68" s="4">
        <v>1054</v>
      </c>
      <c r="G68" s="3">
        <v>0</v>
      </c>
      <c r="H68" s="3">
        <v>0</v>
      </c>
      <c r="I68" s="3">
        <v>2.5</v>
      </c>
      <c r="J68" s="3">
        <v>8.5</v>
      </c>
      <c r="K68" s="3">
        <v>15.86</v>
      </c>
      <c r="L68" s="3">
        <v>13.47</v>
      </c>
      <c r="M68" s="3">
        <v>10.29</v>
      </c>
      <c r="N68" s="3">
        <v>10.36</v>
      </c>
      <c r="O68" s="3">
        <v>7.03</v>
      </c>
      <c r="P68" s="3">
        <v>9.06</v>
      </c>
      <c r="Q68" s="3">
        <v>13.43</v>
      </c>
      <c r="R68" s="3">
        <v>14.82</v>
      </c>
      <c r="S68" s="3">
        <v>2.34</v>
      </c>
      <c r="T68" s="3">
        <v>1.9</v>
      </c>
      <c r="U68" s="3">
        <v>0</v>
      </c>
      <c r="V68" s="3">
        <v>-26.36</v>
      </c>
      <c r="W68" s="3">
        <v>0.60399999999999998</v>
      </c>
      <c r="X68" s="3">
        <v>0.78900000000000003</v>
      </c>
      <c r="Y68" s="3">
        <v>5.4</v>
      </c>
      <c r="Z68" s="3">
        <v>34.299999999999997</v>
      </c>
      <c r="AA68" s="3">
        <v>47.15</v>
      </c>
      <c r="AB68" s="3">
        <v>0</v>
      </c>
      <c r="AC68" s="3">
        <v>0</v>
      </c>
    </row>
    <row r="69" spans="1:29" x14ac:dyDescent="0.2">
      <c r="A69" s="3" t="s">
        <v>195</v>
      </c>
      <c r="B69" s="3">
        <v>0</v>
      </c>
      <c r="C69" s="3">
        <v>0</v>
      </c>
      <c r="D69" s="3">
        <v>0</v>
      </c>
      <c r="E69" s="3">
        <v>0</v>
      </c>
      <c r="F69" s="3">
        <v>0</v>
      </c>
      <c r="G69" s="3">
        <v>0</v>
      </c>
      <c r="H69" s="3">
        <v>0</v>
      </c>
      <c r="I69" s="3">
        <v>0</v>
      </c>
      <c r="J69" s="3">
        <v>0</v>
      </c>
      <c r="K69" s="3">
        <v>0</v>
      </c>
      <c r="L69" s="3">
        <v>0</v>
      </c>
      <c r="M69" s="3">
        <v>0</v>
      </c>
      <c r="N69" s="3">
        <v>0</v>
      </c>
      <c r="O69" s="3">
        <v>0</v>
      </c>
      <c r="P69" s="3">
        <v>0</v>
      </c>
      <c r="Q69" s="3">
        <v>0</v>
      </c>
      <c r="R69" s="3">
        <v>0</v>
      </c>
      <c r="S69" s="3">
        <v>0</v>
      </c>
      <c r="T69" s="3">
        <v>0</v>
      </c>
      <c r="U69" s="3">
        <v>0</v>
      </c>
      <c r="V69" s="3">
        <v>0</v>
      </c>
      <c r="W69" s="3">
        <v>0</v>
      </c>
      <c r="X69" s="3">
        <v>0</v>
      </c>
      <c r="Y69" s="3">
        <v>0</v>
      </c>
      <c r="Z69" s="3">
        <v>0</v>
      </c>
      <c r="AA69" s="3">
        <v>0</v>
      </c>
      <c r="AB69" s="3">
        <v>0</v>
      </c>
      <c r="AC69" s="3">
        <v>0</v>
      </c>
    </row>
    <row r="70" spans="1:29" x14ac:dyDescent="0.2">
      <c r="A70" s="3" t="s">
        <v>275</v>
      </c>
      <c r="B70" s="4">
        <v>23909</v>
      </c>
      <c r="C70" s="4">
        <v>3626</v>
      </c>
      <c r="D70" s="4">
        <v>1840</v>
      </c>
      <c r="E70" s="4">
        <v>2850</v>
      </c>
      <c r="F70" s="4">
        <v>1054</v>
      </c>
      <c r="G70" s="3">
        <v>0</v>
      </c>
      <c r="H70" s="3">
        <v>0</v>
      </c>
      <c r="I70" s="3">
        <v>2.5</v>
      </c>
      <c r="J70" s="3">
        <v>8.5</v>
      </c>
      <c r="K70" s="3">
        <v>15.86</v>
      </c>
      <c r="L70" s="3">
        <v>13.47</v>
      </c>
      <c r="M70" s="3">
        <v>10.29</v>
      </c>
      <c r="N70" s="3">
        <v>10.36</v>
      </c>
      <c r="O70" s="3">
        <v>7.03</v>
      </c>
      <c r="P70" s="3">
        <v>9.06</v>
      </c>
      <c r="Q70" s="3">
        <v>13.43</v>
      </c>
      <c r="R70" s="3">
        <v>14.82</v>
      </c>
      <c r="S70" s="3">
        <v>2.34</v>
      </c>
      <c r="T70" s="3">
        <v>1.9</v>
      </c>
      <c r="U70" s="3">
        <v>0</v>
      </c>
      <c r="V70" s="3">
        <v>0</v>
      </c>
      <c r="W70" s="3">
        <v>0.60399999999999998</v>
      </c>
      <c r="X70" s="3">
        <v>0.78900000000000003</v>
      </c>
      <c r="Y70" s="3">
        <v>5.4</v>
      </c>
      <c r="Z70" s="3">
        <v>34.299999999999997</v>
      </c>
      <c r="AA70" s="3">
        <v>47.15</v>
      </c>
      <c r="AB70" s="3">
        <v>0</v>
      </c>
      <c r="AC70" s="3">
        <v>0</v>
      </c>
    </row>
    <row r="71" spans="1:29" x14ac:dyDescent="0.2">
      <c r="A71" s="3" t="s">
        <v>276</v>
      </c>
      <c r="B71" s="3">
        <v>6.8</v>
      </c>
      <c r="C71" s="3">
        <v>0</v>
      </c>
      <c r="D71" s="3">
        <v>0</v>
      </c>
      <c r="E71" s="3">
        <v>0</v>
      </c>
      <c r="F71" s="4">
        <v>1054</v>
      </c>
      <c r="G71" s="3">
        <v>0</v>
      </c>
      <c r="H71" s="3">
        <v>0</v>
      </c>
      <c r="I71" s="3">
        <v>0</v>
      </c>
      <c r="J71" s="3">
        <v>0</v>
      </c>
      <c r="K71" s="3">
        <v>0</v>
      </c>
      <c r="L71" s="3">
        <v>0</v>
      </c>
      <c r="M71" s="3">
        <v>0</v>
      </c>
      <c r="N71" s="3">
        <v>0</v>
      </c>
      <c r="O71" s="3">
        <v>0</v>
      </c>
      <c r="P71" s="3">
        <v>0</v>
      </c>
      <c r="Q71" s="3">
        <v>0</v>
      </c>
      <c r="R71" s="3">
        <v>-17.11</v>
      </c>
      <c r="S71" s="3">
        <v>0</v>
      </c>
      <c r="T71" s="3">
        <v>0</v>
      </c>
      <c r="U71" s="3">
        <v>0</v>
      </c>
      <c r="V71" s="3">
        <v>26.36</v>
      </c>
      <c r="W71" s="3">
        <v>0</v>
      </c>
      <c r="X71" s="3">
        <v>-0.495</v>
      </c>
      <c r="Y71" s="3">
        <v>0</v>
      </c>
      <c r="Z71" s="3">
        <v>0</v>
      </c>
      <c r="AA71" s="3">
        <v>0</v>
      </c>
      <c r="AB71" s="3">
        <v>0</v>
      </c>
      <c r="AC71" s="3">
        <v>0</v>
      </c>
    </row>
    <row r="72" spans="1:29" x14ac:dyDescent="0.2">
      <c r="A72" s="3" t="s">
        <v>277</v>
      </c>
      <c r="B72" s="4">
        <v>1525</v>
      </c>
      <c r="C72" s="3">
        <v>757.6</v>
      </c>
      <c r="D72" s="3">
        <v>188.2</v>
      </c>
      <c r="E72" s="3">
        <v>319.8</v>
      </c>
      <c r="F72" s="3">
        <v>6.5</v>
      </c>
      <c r="G72" s="3">
        <v>19.41</v>
      </c>
      <c r="H72" s="3">
        <v>17.32</v>
      </c>
      <c r="I72" s="3">
        <v>13.39</v>
      </c>
      <c r="J72" s="3">
        <v>11.7</v>
      </c>
      <c r="K72" s="3">
        <v>7.99</v>
      </c>
      <c r="L72" s="3">
        <v>1.1599999999999999</v>
      </c>
      <c r="M72" s="3">
        <v>3.2</v>
      </c>
      <c r="N72" s="3">
        <v>0</v>
      </c>
      <c r="O72" s="3">
        <v>3</v>
      </c>
      <c r="P72" s="3">
        <v>5.03</v>
      </c>
      <c r="Q72" s="3">
        <v>6.49</v>
      </c>
      <c r="R72" s="3">
        <v>17.11</v>
      </c>
      <c r="S72" s="3">
        <v>35.35</v>
      </c>
      <c r="T72" s="3">
        <v>57.94</v>
      </c>
      <c r="U72" s="3">
        <v>86.39</v>
      </c>
      <c r="V72" s="3">
        <v>110.8</v>
      </c>
      <c r="W72" s="3">
        <v>3.69</v>
      </c>
      <c r="X72" s="3">
        <v>0.495</v>
      </c>
      <c r="Y72" s="3">
        <v>0</v>
      </c>
      <c r="Z72" s="3">
        <v>0</v>
      </c>
      <c r="AA72" s="3">
        <v>0</v>
      </c>
      <c r="AB72" s="3">
        <v>0</v>
      </c>
      <c r="AC72" s="3">
        <v>0</v>
      </c>
    </row>
    <row r="73" spans="1:29" x14ac:dyDescent="0.2">
      <c r="A73" s="3" t="s">
        <v>278</v>
      </c>
      <c r="B73" s="3">
        <v>68.989999999999995</v>
      </c>
      <c r="C73" s="3">
        <v>24.3</v>
      </c>
      <c r="D73" s="3">
        <v>23.92</v>
      </c>
      <c r="E73" s="3">
        <v>15.82</v>
      </c>
      <c r="F73" s="4">
        <v>-1039</v>
      </c>
      <c r="G73" s="3">
        <v>8.02</v>
      </c>
      <c r="H73" s="3">
        <v>8.1300000000000008</v>
      </c>
      <c r="I73" s="3">
        <v>2.87</v>
      </c>
      <c r="J73" s="3">
        <v>5.7</v>
      </c>
      <c r="K73" s="3">
        <v>2.0699999999999998</v>
      </c>
      <c r="L73" s="3">
        <v>3.95</v>
      </c>
      <c r="M73" s="3">
        <v>6.62</v>
      </c>
      <c r="N73" s="3">
        <v>0</v>
      </c>
      <c r="O73" s="3">
        <v>5.31</v>
      </c>
      <c r="P73" s="3">
        <v>5.59</v>
      </c>
      <c r="Q73" s="3">
        <v>3.28</v>
      </c>
      <c r="R73" s="3">
        <v>53.91</v>
      </c>
      <c r="S73" s="3">
        <v>11.43</v>
      </c>
      <c r="T73" s="3">
        <v>2.46</v>
      </c>
      <c r="U73" s="3">
        <v>5.96</v>
      </c>
      <c r="V73" s="3">
        <v>34.869999999999997</v>
      </c>
      <c r="W73" s="3">
        <v>5.07</v>
      </c>
      <c r="X73" s="3">
        <v>5.64</v>
      </c>
      <c r="Y73" s="3">
        <v>3.79</v>
      </c>
      <c r="Z73" s="3">
        <v>8.51</v>
      </c>
      <c r="AA73" s="3">
        <v>4.21</v>
      </c>
      <c r="AB73" s="3">
        <v>5.4</v>
      </c>
      <c r="AC73" s="3">
        <v>2.2000000000000002</v>
      </c>
    </row>
    <row r="74" spans="1:29" x14ac:dyDescent="0.2">
      <c r="A74" s="42" t="s">
        <v>134</v>
      </c>
      <c r="B74" s="3">
        <v>355.4</v>
      </c>
      <c r="C74" s="3">
        <v>323.3</v>
      </c>
      <c r="D74" s="3">
        <v>317.39999999999998</v>
      </c>
      <c r="E74" s="3">
        <v>312</v>
      </c>
      <c r="F74" s="3">
        <v>285.60000000000002</v>
      </c>
      <c r="G74" s="3">
        <v>269.8</v>
      </c>
      <c r="H74" s="3">
        <v>258.3</v>
      </c>
      <c r="I74" s="3">
        <v>184.9</v>
      </c>
      <c r="J74" s="3">
        <v>185.5</v>
      </c>
      <c r="K74" s="3">
        <v>172.7</v>
      </c>
      <c r="L74" s="3">
        <v>197.3</v>
      </c>
      <c r="M74" s="3">
        <v>233.5</v>
      </c>
      <c r="N74" s="3">
        <v>219.2</v>
      </c>
      <c r="O74" s="3">
        <v>218.4</v>
      </c>
      <c r="P74" s="3">
        <v>186.6</v>
      </c>
      <c r="Q74" s="3">
        <v>152.6</v>
      </c>
      <c r="R74" s="3">
        <v>143.19999999999999</v>
      </c>
      <c r="S74" s="3">
        <v>127</v>
      </c>
      <c r="T74" s="3">
        <v>112.8</v>
      </c>
      <c r="U74" s="3">
        <v>92.68</v>
      </c>
      <c r="V74" s="3">
        <v>89.63</v>
      </c>
      <c r="W74" s="3">
        <v>61.71</v>
      </c>
      <c r="X74" s="3">
        <v>61.9</v>
      </c>
      <c r="Y74" s="3">
        <v>91.11</v>
      </c>
      <c r="Z74" s="3">
        <v>112.3</v>
      </c>
      <c r="AA74" s="3">
        <v>68.3</v>
      </c>
      <c r="AB74" s="3">
        <v>35</v>
      </c>
      <c r="AC74" s="3">
        <v>26.8</v>
      </c>
    </row>
    <row r="75" spans="1:29" x14ac:dyDescent="0.2">
      <c r="A75" s="42" t="s">
        <v>130</v>
      </c>
      <c r="B75" s="3">
        <v>33.4</v>
      </c>
      <c r="C75" s="3">
        <v>32.630000000000003</v>
      </c>
      <c r="D75" s="3">
        <v>42.98</v>
      </c>
      <c r="E75" s="3">
        <v>46.08</v>
      </c>
      <c r="F75" s="3">
        <v>44.85</v>
      </c>
      <c r="G75" s="3">
        <v>33.92</v>
      </c>
      <c r="H75" s="3">
        <v>33.68</v>
      </c>
      <c r="I75" s="3">
        <v>30.71</v>
      </c>
      <c r="J75" s="3">
        <v>33.130000000000003</v>
      </c>
      <c r="K75" s="3">
        <v>28.54</v>
      </c>
      <c r="L75" s="3">
        <v>33.020000000000003</v>
      </c>
      <c r="M75" s="3">
        <v>37.57</v>
      </c>
      <c r="N75" s="3">
        <v>38.409999999999997</v>
      </c>
      <c r="O75" s="3">
        <v>46.4</v>
      </c>
      <c r="P75" s="3">
        <v>0</v>
      </c>
      <c r="Q75" s="3">
        <v>28.46</v>
      </c>
      <c r="R75" s="3">
        <v>0</v>
      </c>
      <c r="S75" s="3">
        <v>22.08</v>
      </c>
      <c r="T75" s="3">
        <v>24.38</v>
      </c>
      <c r="U75" s="3">
        <v>19.55</v>
      </c>
      <c r="V75" s="3">
        <v>18.91</v>
      </c>
      <c r="W75" s="3">
        <v>12.77</v>
      </c>
      <c r="X75" s="3">
        <v>15.27</v>
      </c>
      <c r="Y75" s="3">
        <v>18.93</v>
      </c>
      <c r="Z75" s="3">
        <v>30.97</v>
      </c>
      <c r="AA75" s="3">
        <v>13.58</v>
      </c>
      <c r="AB75" s="3">
        <v>11.46</v>
      </c>
      <c r="AC75" s="3">
        <v>9.4</v>
      </c>
    </row>
    <row r="76" spans="1:29" x14ac:dyDescent="0.2">
      <c r="A76" s="42" t="s">
        <v>279</v>
      </c>
      <c r="B76" s="3">
        <v>10.9</v>
      </c>
      <c r="C76" s="3">
        <v>10.95</v>
      </c>
      <c r="D76" s="3">
        <v>0.45400000000000001</v>
      </c>
      <c r="E76" s="3">
        <v>0</v>
      </c>
      <c r="F76" s="3">
        <v>0</v>
      </c>
      <c r="G76" s="3">
        <v>0</v>
      </c>
      <c r="H76" s="3">
        <v>0</v>
      </c>
      <c r="I76" s="3">
        <v>0</v>
      </c>
      <c r="J76" s="3">
        <v>0</v>
      </c>
      <c r="K76" s="3">
        <v>0</v>
      </c>
      <c r="L76" s="3">
        <v>0</v>
      </c>
      <c r="M76" s="3">
        <v>0</v>
      </c>
      <c r="N76" s="3" t="s">
        <v>537</v>
      </c>
      <c r="O76" s="3">
        <v>0</v>
      </c>
      <c r="P76" s="3">
        <v>0</v>
      </c>
      <c r="Q76" s="3">
        <v>0</v>
      </c>
      <c r="R76" s="3">
        <v>0</v>
      </c>
      <c r="S76" s="3">
        <v>0</v>
      </c>
      <c r="T76" s="3">
        <v>0</v>
      </c>
      <c r="U76" s="3">
        <v>0</v>
      </c>
      <c r="V76" s="3">
        <v>0</v>
      </c>
      <c r="W76" s="3">
        <v>0</v>
      </c>
      <c r="X76" s="3">
        <v>4.7</v>
      </c>
      <c r="Y76" s="3">
        <v>1.21</v>
      </c>
      <c r="Z76" s="3">
        <v>0</v>
      </c>
      <c r="AA76" s="3">
        <v>0</v>
      </c>
      <c r="AB76" s="3">
        <v>5</v>
      </c>
      <c r="AC76" s="3">
        <v>0.9</v>
      </c>
    </row>
    <row r="77" spans="1:29" x14ac:dyDescent="0.2">
      <c r="A77" s="42" t="s">
        <v>280</v>
      </c>
      <c r="B77" s="3">
        <v>0</v>
      </c>
      <c r="C77" s="3">
        <v>0</v>
      </c>
      <c r="D77" s="3">
        <v>5.5</v>
      </c>
      <c r="E77" s="3">
        <v>3</v>
      </c>
      <c r="F77" s="3">
        <v>3</v>
      </c>
      <c r="G77" s="3">
        <v>0.9</v>
      </c>
      <c r="H77" s="3">
        <v>0</v>
      </c>
      <c r="I77" s="3">
        <v>0</v>
      </c>
      <c r="J77" s="3">
        <v>0</v>
      </c>
      <c r="K77" s="3">
        <v>0</v>
      </c>
      <c r="L77" s="3">
        <v>0</v>
      </c>
      <c r="M77" s="3">
        <v>0</v>
      </c>
      <c r="N77" s="3">
        <v>0</v>
      </c>
      <c r="O77" s="3">
        <v>0</v>
      </c>
      <c r="P77" s="3">
        <v>0</v>
      </c>
      <c r="Q77" s="3">
        <v>0</v>
      </c>
      <c r="R77" s="3">
        <v>0</v>
      </c>
      <c r="S77" s="3">
        <v>0</v>
      </c>
      <c r="T77" s="3">
        <v>0</v>
      </c>
      <c r="U77" s="3">
        <v>0</v>
      </c>
      <c r="V77" s="3">
        <v>0</v>
      </c>
      <c r="W77" s="3">
        <v>0</v>
      </c>
      <c r="X77" s="3">
        <v>0</v>
      </c>
      <c r="Y77" s="3">
        <v>0</v>
      </c>
      <c r="Z77" s="3">
        <v>0</v>
      </c>
      <c r="AA77" s="3">
        <v>0</v>
      </c>
      <c r="AB77" s="3">
        <v>0</v>
      </c>
      <c r="AC77" s="3">
        <v>0</v>
      </c>
    </row>
    <row r="78" spans="1:29" x14ac:dyDescent="0.2">
      <c r="A78" s="42" t="s">
        <v>281</v>
      </c>
      <c r="B78" s="3">
        <v>238</v>
      </c>
      <c r="C78" s="3">
        <v>228.2</v>
      </c>
      <c r="D78" s="3">
        <v>217.4</v>
      </c>
      <c r="E78" s="3">
        <v>209.9</v>
      </c>
      <c r="F78" s="3">
        <v>191.2</v>
      </c>
      <c r="G78" s="3">
        <v>187.1</v>
      </c>
      <c r="H78" s="3">
        <v>176.5</v>
      </c>
      <c r="I78" s="3">
        <v>112.6</v>
      </c>
      <c r="J78" s="3">
        <v>105.5</v>
      </c>
      <c r="K78" s="3">
        <v>100.7</v>
      </c>
      <c r="L78" s="3">
        <v>108.4</v>
      </c>
      <c r="M78" s="3">
        <v>113.7</v>
      </c>
      <c r="N78" s="3">
        <v>0</v>
      </c>
      <c r="O78" s="3">
        <v>103.2</v>
      </c>
      <c r="P78" s="3">
        <v>89.33</v>
      </c>
      <c r="Q78" s="3">
        <v>77.78</v>
      </c>
      <c r="R78" s="3">
        <v>66.5</v>
      </c>
      <c r="S78" s="3">
        <v>64.3</v>
      </c>
      <c r="T78" s="3">
        <v>56.58</v>
      </c>
      <c r="U78" s="3">
        <v>45.87</v>
      </c>
      <c r="V78" s="3">
        <v>43.67</v>
      </c>
      <c r="W78" s="3">
        <v>28.37</v>
      </c>
      <c r="X78" s="3">
        <v>23.96</v>
      </c>
      <c r="Y78" s="3">
        <v>20.99</v>
      </c>
      <c r="Z78" s="3">
        <v>0</v>
      </c>
      <c r="AA78" s="3">
        <v>0</v>
      </c>
      <c r="AB78" s="3">
        <v>0</v>
      </c>
      <c r="AC78" s="3">
        <v>0</v>
      </c>
    </row>
    <row r="79" spans="1:29" x14ac:dyDescent="0.2">
      <c r="A79" s="42" t="s">
        <v>133</v>
      </c>
      <c r="B79" s="3">
        <v>73.11</v>
      </c>
      <c r="C79" s="3">
        <v>51.54</v>
      </c>
      <c r="D79" s="3">
        <v>51.05</v>
      </c>
      <c r="E79" s="3">
        <v>53.04</v>
      </c>
      <c r="F79" s="3">
        <v>46.52</v>
      </c>
      <c r="G79" s="3">
        <v>47.89</v>
      </c>
      <c r="H79" s="3">
        <v>48.05</v>
      </c>
      <c r="I79" s="3">
        <v>41.5</v>
      </c>
      <c r="J79" s="3">
        <v>46.82</v>
      </c>
      <c r="K79" s="3">
        <v>43.42</v>
      </c>
      <c r="L79" s="3">
        <v>55.87</v>
      </c>
      <c r="M79" s="3">
        <v>82.3</v>
      </c>
      <c r="N79" s="2"/>
      <c r="O79" s="3">
        <v>68.790000000000006</v>
      </c>
      <c r="P79" s="3">
        <v>97.24</v>
      </c>
      <c r="Q79" s="3">
        <v>46.39</v>
      </c>
      <c r="R79" s="3">
        <v>76.66</v>
      </c>
      <c r="S79" s="3">
        <v>40.6</v>
      </c>
      <c r="T79" s="3">
        <v>31.87</v>
      </c>
      <c r="U79" s="3">
        <v>27.26</v>
      </c>
      <c r="V79" s="3">
        <v>27.05</v>
      </c>
      <c r="W79" s="3">
        <v>20.57</v>
      </c>
      <c r="X79" s="3">
        <v>17.97</v>
      </c>
      <c r="Y79" s="3">
        <v>49.98</v>
      </c>
      <c r="Z79" s="3">
        <v>81.290000000000006</v>
      </c>
      <c r="AA79" s="3">
        <v>54.72</v>
      </c>
      <c r="AB79" s="3">
        <v>18.54</v>
      </c>
      <c r="AC79" s="3">
        <v>16.5</v>
      </c>
    </row>
    <row r="80" spans="1:29" x14ac:dyDescent="0.2">
      <c r="A80" s="42" t="s">
        <v>138</v>
      </c>
      <c r="B80" s="4">
        <v>7614</v>
      </c>
      <c r="C80" s="4">
        <v>2598</v>
      </c>
      <c r="D80" s="4">
        <v>2793</v>
      </c>
      <c r="E80" s="4">
        <v>2578</v>
      </c>
      <c r="F80" s="3">
        <v>912.6</v>
      </c>
      <c r="G80" s="3">
        <v>408</v>
      </c>
      <c r="H80" s="3">
        <v>326</v>
      </c>
      <c r="I80" s="3">
        <v>245.2</v>
      </c>
      <c r="J80" s="3">
        <v>216.1</v>
      </c>
      <c r="K80" s="3">
        <v>201.6</v>
      </c>
      <c r="L80" s="3">
        <v>234.3</v>
      </c>
      <c r="M80" s="3">
        <v>275.2</v>
      </c>
      <c r="N80" s="3">
        <v>277.60000000000002</v>
      </c>
      <c r="O80" s="3">
        <v>284.89999999999998</v>
      </c>
      <c r="P80" s="3">
        <v>232.4</v>
      </c>
      <c r="Q80" s="3">
        <v>169.1</v>
      </c>
      <c r="R80" s="3">
        <v>154.1</v>
      </c>
      <c r="S80" s="3">
        <v>138.1</v>
      </c>
      <c r="T80" s="3">
        <v>115.7</v>
      </c>
      <c r="U80" s="3">
        <v>97.05</v>
      </c>
      <c r="V80" s="3">
        <v>96.38</v>
      </c>
      <c r="W80" s="3">
        <v>70.45</v>
      </c>
      <c r="X80" s="3">
        <v>114.4</v>
      </c>
      <c r="Y80" s="3">
        <v>173</v>
      </c>
      <c r="Z80" s="3">
        <v>244.5</v>
      </c>
      <c r="AA80" s="3">
        <v>101.6</v>
      </c>
      <c r="AB80" s="3">
        <v>36.4</v>
      </c>
      <c r="AC80" s="3">
        <v>30.5</v>
      </c>
    </row>
    <row r="81" spans="1:29" ht="16" customHeight="1" x14ac:dyDescent="0.2">
      <c r="A81" s="44" t="s">
        <v>282</v>
      </c>
      <c r="B81" s="4">
        <v>7258</v>
      </c>
      <c r="C81" s="4">
        <v>2274</v>
      </c>
      <c r="D81" s="4">
        <v>2476</v>
      </c>
      <c r="E81" s="4">
        <v>2266</v>
      </c>
      <c r="F81" s="3">
        <v>626.9</v>
      </c>
      <c r="G81" s="3">
        <v>138.19999999999999</v>
      </c>
      <c r="H81" s="3">
        <v>67.77</v>
      </c>
      <c r="I81" s="3">
        <v>60.33</v>
      </c>
      <c r="J81" s="3">
        <v>30.66</v>
      </c>
      <c r="K81" s="3">
        <v>28.95</v>
      </c>
      <c r="L81" s="3">
        <v>37.03</v>
      </c>
      <c r="M81" s="3">
        <v>41.67</v>
      </c>
      <c r="N81" s="3">
        <v>0</v>
      </c>
      <c r="O81" s="3">
        <v>66.48</v>
      </c>
      <c r="P81" s="3">
        <v>45.82</v>
      </c>
      <c r="Q81" s="3">
        <v>16.47</v>
      </c>
      <c r="R81" s="3">
        <v>10.95</v>
      </c>
      <c r="S81" s="3">
        <v>11.07</v>
      </c>
      <c r="T81" s="3">
        <v>2.84</v>
      </c>
      <c r="U81" s="3">
        <v>4.37</v>
      </c>
      <c r="V81" s="3">
        <v>6.74</v>
      </c>
      <c r="W81" s="3">
        <v>8.74</v>
      </c>
      <c r="X81" s="3">
        <v>52.49</v>
      </c>
      <c r="Y81" s="3">
        <v>81.88</v>
      </c>
      <c r="Z81" s="3">
        <v>132.30000000000001</v>
      </c>
      <c r="AA81" s="3">
        <v>33.26</v>
      </c>
      <c r="AB81" s="3">
        <v>1.4</v>
      </c>
      <c r="AC81" s="3">
        <v>3.7</v>
      </c>
    </row>
    <row r="82" spans="1:29" ht="16" customHeight="1" x14ac:dyDescent="0.2">
      <c r="A82" s="3" t="s">
        <v>283</v>
      </c>
      <c r="B82" s="4">
        <v>7248</v>
      </c>
      <c r="C82" s="4">
        <v>2243</v>
      </c>
      <c r="D82" s="4">
        <v>2446</v>
      </c>
      <c r="E82" s="4">
        <v>2232</v>
      </c>
      <c r="F82" s="3">
        <v>570.70000000000005</v>
      </c>
      <c r="G82" s="3">
        <v>103.4</v>
      </c>
      <c r="H82" s="3">
        <v>0</v>
      </c>
      <c r="I82" s="3">
        <v>0</v>
      </c>
      <c r="J82" s="3">
        <v>0</v>
      </c>
      <c r="K82" s="3">
        <v>0</v>
      </c>
      <c r="L82" s="3">
        <v>0</v>
      </c>
      <c r="M82" s="3">
        <v>0</v>
      </c>
      <c r="N82" s="3">
        <v>0</v>
      </c>
      <c r="O82" s="3">
        <v>0</v>
      </c>
      <c r="P82" s="3">
        <v>0</v>
      </c>
      <c r="Q82" s="3">
        <v>0</v>
      </c>
      <c r="R82" s="3">
        <v>0</v>
      </c>
      <c r="S82" s="3">
        <v>0</v>
      </c>
      <c r="T82" s="3">
        <v>0</v>
      </c>
      <c r="U82" s="3">
        <v>0</v>
      </c>
      <c r="V82" s="3">
        <v>0</v>
      </c>
      <c r="W82" s="3">
        <v>0</v>
      </c>
      <c r="X82" s="3">
        <v>45.04</v>
      </c>
      <c r="Y82" s="3">
        <v>0</v>
      </c>
      <c r="Z82" s="3">
        <v>0</v>
      </c>
      <c r="AA82" s="3">
        <v>0</v>
      </c>
      <c r="AB82" s="3">
        <v>0</v>
      </c>
      <c r="AC82" s="3">
        <v>2.7</v>
      </c>
    </row>
    <row r="83" spans="1:29" x14ac:dyDescent="0.2">
      <c r="A83" s="3" t="s">
        <v>284</v>
      </c>
      <c r="B83" s="3">
        <v>0.40699999999999997</v>
      </c>
      <c r="C83" s="3">
        <v>0.35699999999999998</v>
      </c>
      <c r="D83" s="3">
        <v>0.19800000000000001</v>
      </c>
      <c r="E83" s="3">
        <v>0.109</v>
      </c>
      <c r="F83" s="3">
        <v>8.2100000000000009</v>
      </c>
      <c r="G83" s="3">
        <v>2.5999999999999999E-2</v>
      </c>
      <c r="H83" s="3">
        <v>3.6999999999999998E-2</v>
      </c>
      <c r="I83" s="3">
        <v>4.0000000000000001E-3</v>
      </c>
      <c r="J83" s="3">
        <v>0.29399999999999998</v>
      </c>
      <c r="K83" s="3">
        <v>1.7000000000000001E-2</v>
      </c>
      <c r="L83" s="3">
        <v>3.53</v>
      </c>
      <c r="M83" s="3">
        <v>7.19</v>
      </c>
      <c r="N83" s="3">
        <v>0</v>
      </c>
      <c r="O83" s="3">
        <v>10.5</v>
      </c>
      <c r="P83" s="3">
        <v>0.35499999999999998</v>
      </c>
      <c r="Q83" s="3">
        <v>0.115</v>
      </c>
      <c r="R83" s="3">
        <v>0</v>
      </c>
      <c r="S83" s="3">
        <v>0</v>
      </c>
      <c r="T83" s="3">
        <v>0</v>
      </c>
      <c r="U83" s="3">
        <v>0</v>
      </c>
      <c r="V83" s="3">
        <v>0</v>
      </c>
      <c r="W83" s="3">
        <v>0</v>
      </c>
      <c r="X83" s="3">
        <v>-1.38</v>
      </c>
      <c r="Y83" s="3">
        <v>0</v>
      </c>
      <c r="Z83" s="3">
        <v>0</v>
      </c>
      <c r="AA83" s="3">
        <v>0</v>
      </c>
      <c r="AB83" s="3">
        <v>0</v>
      </c>
      <c r="AC83" s="3">
        <v>0</v>
      </c>
    </row>
    <row r="84" spans="1:29" x14ac:dyDescent="0.2">
      <c r="A84" s="3" t="s">
        <v>285</v>
      </c>
      <c r="B84" s="3">
        <v>4.97</v>
      </c>
      <c r="C84" s="3">
        <v>8.52</v>
      </c>
      <c r="D84" s="3">
        <v>12.76</v>
      </c>
      <c r="E84" s="3">
        <v>8.09</v>
      </c>
      <c r="F84" s="3">
        <v>14.66</v>
      </c>
      <c r="G84" s="3">
        <v>4.34</v>
      </c>
      <c r="H84" s="3">
        <v>6.47</v>
      </c>
      <c r="I84" s="3">
        <v>10.18</v>
      </c>
      <c r="J84" s="3">
        <v>13.91</v>
      </c>
      <c r="K84" s="3">
        <v>8.99</v>
      </c>
      <c r="L84" s="3">
        <v>10.82</v>
      </c>
      <c r="M84" s="3">
        <v>8.9700000000000006</v>
      </c>
      <c r="N84" s="3">
        <v>0</v>
      </c>
      <c r="O84" s="3">
        <v>10.84</v>
      </c>
      <c r="P84" s="3">
        <v>7.88</v>
      </c>
      <c r="Q84" s="3">
        <v>3.85</v>
      </c>
      <c r="R84" s="3">
        <v>1.68</v>
      </c>
      <c r="S84" s="3">
        <v>1.94</v>
      </c>
      <c r="T84" s="3">
        <v>1.1299999999999999</v>
      </c>
      <c r="U84" s="3">
        <v>1.55</v>
      </c>
      <c r="V84" s="3">
        <v>1.68</v>
      </c>
      <c r="W84" s="3">
        <v>2.75</v>
      </c>
      <c r="X84" s="3">
        <v>1.38</v>
      </c>
      <c r="Y84" s="3">
        <v>0</v>
      </c>
      <c r="Z84" s="3">
        <v>0</v>
      </c>
      <c r="AA84" s="3">
        <v>0</v>
      </c>
      <c r="AB84" s="3">
        <v>0</v>
      </c>
      <c r="AC84" s="3">
        <v>0</v>
      </c>
    </row>
    <row r="85" spans="1:29" ht="17" customHeight="1" x14ac:dyDescent="0.2">
      <c r="A85" s="3" t="s">
        <v>286</v>
      </c>
      <c r="B85" s="3">
        <v>56.4</v>
      </c>
      <c r="C85" s="3">
        <v>61.09</v>
      </c>
      <c r="D85" s="3">
        <v>67.34</v>
      </c>
      <c r="E85" s="3">
        <v>76.61</v>
      </c>
      <c r="F85" s="3">
        <v>84.33</v>
      </c>
      <c r="G85" s="3">
        <v>103.4</v>
      </c>
      <c r="H85" s="3">
        <v>0</v>
      </c>
      <c r="I85" s="3">
        <v>0</v>
      </c>
      <c r="J85" s="3">
        <v>0</v>
      </c>
      <c r="K85" s="3">
        <v>0</v>
      </c>
      <c r="L85" s="3">
        <v>0</v>
      </c>
      <c r="M85" s="3">
        <v>0</v>
      </c>
      <c r="N85" s="3">
        <v>0</v>
      </c>
      <c r="O85" s="3">
        <v>0</v>
      </c>
      <c r="P85" s="3">
        <v>0</v>
      </c>
      <c r="Q85" s="3">
        <v>0</v>
      </c>
      <c r="R85" s="3">
        <v>0</v>
      </c>
      <c r="S85" s="3">
        <v>0</v>
      </c>
      <c r="T85" s="3">
        <v>0</v>
      </c>
      <c r="U85" s="3">
        <v>0</v>
      </c>
      <c r="V85" s="3">
        <v>0</v>
      </c>
      <c r="W85" s="3">
        <v>0</v>
      </c>
      <c r="X85" s="3">
        <v>0</v>
      </c>
      <c r="Y85" s="3">
        <v>0</v>
      </c>
      <c r="Z85" s="3">
        <v>0</v>
      </c>
      <c r="AA85" s="3">
        <v>0</v>
      </c>
      <c r="AB85" s="3">
        <v>0</v>
      </c>
      <c r="AC85" s="3">
        <v>0</v>
      </c>
    </row>
    <row r="86" spans="1:29" x14ac:dyDescent="0.2">
      <c r="A86" s="3" t="s">
        <v>287</v>
      </c>
      <c r="B86" s="3">
        <v>-51.02</v>
      </c>
      <c r="C86" s="3">
        <v>-38.880000000000003</v>
      </c>
      <c r="D86" s="3">
        <v>-50.22</v>
      </c>
      <c r="E86" s="3">
        <v>-50.38</v>
      </c>
      <c r="F86" s="3">
        <v>-50.95</v>
      </c>
      <c r="G86" s="3">
        <v>-73.02</v>
      </c>
      <c r="H86" s="3">
        <v>61.26</v>
      </c>
      <c r="I86" s="3">
        <v>50.15</v>
      </c>
      <c r="J86" s="3">
        <v>16.45</v>
      </c>
      <c r="K86" s="3">
        <v>19.940000000000001</v>
      </c>
      <c r="L86" s="3">
        <v>22.68</v>
      </c>
      <c r="M86" s="3">
        <v>25.51</v>
      </c>
      <c r="N86" s="3">
        <v>0</v>
      </c>
      <c r="O86" s="3">
        <v>45.14</v>
      </c>
      <c r="P86" s="3">
        <v>37.590000000000003</v>
      </c>
      <c r="Q86" s="3">
        <v>12.51</v>
      </c>
      <c r="R86" s="3">
        <v>9.27</v>
      </c>
      <c r="S86" s="3">
        <v>9.14</v>
      </c>
      <c r="T86" s="3">
        <v>1.71</v>
      </c>
      <c r="U86" s="3">
        <v>2.81</v>
      </c>
      <c r="V86" s="3">
        <v>5.0599999999999996</v>
      </c>
      <c r="W86" s="3">
        <v>5.99</v>
      </c>
      <c r="X86" s="3">
        <v>7.45</v>
      </c>
      <c r="Y86" s="3">
        <v>81.88</v>
      </c>
      <c r="Z86" s="3">
        <v>132.30000000000001</v>
      </c>
      <c r="AA86" s="3">
        <v>33.26</v>
      </c>
      <c r="AB86" s="3">
        <v>1.4</v>
      </c>
      <c r="AC86" s="3">
        <v>1</v>
      </c>
    </row>
    <row r="87" spans="1:29" x14ac:dyDescent="0.2">
      <c r="A87" s="42" t="s">
        <v>178</v>
      </c>
      <c r="B87" s="4">
        <v>18230</v>
      </c>
      <c r="C87" s="4">
        <v>2165</v>
      </c>
      <c r="D87" s="3">
        <v>-383.1</v>
      </c>
      <c r="E87" s="3">
        <v>979</v>
      </c>
      <c r="F87" s="3">
        <v>553</v>
      </c>
      <c r="G87" s="3">
        <v>508.6</v>
      </c>
      <c r="H87" s="3">
        <v>529.70000000000005</v>
      </c>
      <c r="I87" s="3">
        <v>590.5</v>
      </c>
      <c r="J87" s="3">
        <v>552.20000000000005</v>
      </c>
      <c r="K87" s="3">
        <v>455.3</v>
      </c>
      <c r="L87" s="3">
        <v>324.5</v>
      </c>
      <c r="M87" s="3">
        <v>310.3</v>
      </c>
      <c r="N87" s="3">
        <v>200.3</v>
      </c>
      <c r="O87" s="3">
        <v>169</v>
      </c>
      <c r="P87" s="3">
        <v>149.19999999999999</v>
      </c>
      <c r="Q87" s="3">
        <v>214.2</v>
      </c>
      <c r="R87" s="3">
        <v>138</v>
      </c>
      <c r="S87" s="3">
        <v>103.3</v>
      </c>
      <c r="T87" s="3">
        <v>133.19999999999999</v>
      </c>
      <c r="U87" s="3">
        <v>180.7</v>
      </c>
      <c r="V87" s="3">
        <v>240.6</v>
      </c>
      <c r="W87" s="3">
        <v>44.35</v>
      </c>
      <c r="X87" s="3">
        <v>-34.51</v>
      </c>
      <c r="Y87" s="3">
        <v>-69.36</v>
      </c>
      <c r="Z87" s="3">
        <v>14.58</v>
      </c>
      <c r="AA87" s="3">
        <v>101.8</v>
      </c>
      <c r="AB87" s="3">
        <v>46.3</v>
      </c>
      <c r="AC87" s="3">
        <v>-0.4</v>
      </c>
    </row>
    <row r="88" spans="1:29" x14ac:dyDescent="0.2">
      <c r="A88" s="42" t="s">
        <v>288</v>
      </c>
      <c r="B88" s="3">
        <v>0</v>
      </c>
      <c r="C88" s="3">
        <v>0</v>
      </c>
      <c r="D88" s="3">
        <v>0</v>
      </c>
      <c r="E88" s="3">
        <v>0</v>
      </c>
      <c r="F88" s="3">
        <v>0</v>
      </c>
      <c r="G88" s="3">
        <v>0</v>
      </c>
      <c r="H88" s="3">
        <v>0</v>
      </c>
      <c r="I88" s="3">
        <v>0</v>
      </c>
      <c r="J88" s="3">
        <v>0</v>
      </c>
      <c r="K88" s="3">
        <v>0</v>
      </c>
      <c r="L88" s="3">
        <v>0</v>
      </c>
      <c r="M88" s="3">
        <v>0</v>
      </c>
      <c r="N88" s="3">
        <v>0</v>
      </c>
      <c r="O88" s="3">
        <v>0</v>
      </c>
      <c r="P88" s="3">
        <v>0</v>
      </c>
      <c r="Q88" s="3">
        <v>0</v>
      </c>
      <c r="R88" s="3">
        <v>0</v>
      </c>
      <c r="S88" s="3">
        <v>0</v>
      </c>
      <c r="T88" s="3">
        <v>0</v>
      </c>
      <c r="U88" s="3">
        <v>0</v>
      </c>
      <c r="V88" s="3">
        <v>0</v>
      </c>
      <c r="W88" s="3">
        <v>0</v>
      </c>
      <c r="X88" s="3">
        <v>0</v>
      </c>
      <c r="Y88" s="3">
        <v>0</v>
      </c>
      <c r="Z88" s="3">
        <v>0</v>
      </c>
      <c r="AA88" s="3">
        <v>0</v>
      </c>
      <c r="AB88" s="3">
        <v>0</v>
      </c>
      <c r="AC88" s="3">
        <v>0</v>
      </c>
    </row>
    <row r="89" spans="1:29" x14ac:dyDescent="0.2">
      <c r="A89" s="44" t="s">
        <v>289</v>
      </c>
      <c r="B89" s="4">
        <v>18230</v>
      </c>
      <c r="C89" s="4">
        <v>2165</v>
      </c>
      <c r="D89" s="3">
        <v>-383.1</v>
      </c>
      <c r="E89" s="3">
        <v>979</v>
      </c>
      <c r="F89" s="3">
        <v>553</v>
      </c>
      <c r="G89" s="3">
        <v>508.6</v>
      </c>
      <c r="H89" s="3">
        <v>529.70000000000005</v>
      </c>
      <c r="I89" s="3">
        <v>590.5</v>
      </c>
      <c r="J89" s="3">
        <v>552.20000000000005</v>
      </c>
      <c r="K89" s="3">
        <v>455.3</v>
      </c>
      <c r="L89" s="3">
        <v>324.5</v>
      </c>
      <c r="M89" s="3">
        <v>310.3</v>
      </c>
      <c r="N89" s="3">
        <v>200.3</v>
      </c>
      <c r="O89" s="3">
        <v>169</v>
      </c>
      <c r="P89" s="3">
        <v>149.19999999999999</v>
      </c>
      <c r="Q89" s="3">
        <v>214.2</v>
      </c>
      <c r="R89" s="3">
        <v>138</v>
      </c>
      <c r="S89" s="3">
        <v>103.3</v>
      </c>
      <c r="T89" s="3">
        <v>133.19999999999999</v>
      </c>
      <c r="U89" s="3">
        <v>180.7</v>
      </c>
      <c r="V89" s="3">
        <v>240.6</v>
      </c>
      <c r="W89" s="3">
        <v>44.35</v>
      </c>
      <c r="X89" s="3">
        <v>-34.51</v>
      </c>
      <c r="Y89" s="3">
        <v>-69.36</v>
      </c>
      <c r="Z89" s="3">
        <v>14.58</v>
      </c>
      <c r="AA89" s="3">
        <v>101.8</v>
      </c>
      <c r="AB89" s="3">
        <v>46.3</v>
      </c>
      <c r="AC89" s="3">
        <v>-0.4</v>
      </c>
    </row>
    <row r="90" spans="1:29" x14ac:dyDescent="0.2">
      <c r="A90" s="3" t="s">
        <v>13</v>
      </c>
      <c r="B90" s="4">
        <v>-2167</v>
      </c>
      <c r="C90" s="3">
        <v>-999.2</v>
      </c>
      <c r="D90" s="4">
        <v>-1428</v>
      </c>
      <c r="E90" s="3">
        <v>41.44</v>
      </c>
      <c r="F90" s="3">
        <v>576</v>
      </c>
      <c r="G90" s="3">
        <v>583.5</v>
      </c>
      <c r="H90" s="3">
        <v>549.1</v>
      </c>
      <c r="I90" s="3">
        <v>511.8</v>
      </c>
      <c r="J90" s="3">
        <v>494.1</v>
      </c>
      <c r="K90" s="3">
        <v>403.2</v>
      </c>
      <c r="L90" s="3">
        <v>297.3</v>
      </c>
      <c r="M90" s="3">
        <v>292.2</v>
      </c>
      <c r="N90" s="3">
        <v>208.9</v>
      </c>
      <c r="O90" s="3">
        <v>188.4</v>
      </c>
      <c r="P90" s="3">
        <v>170.4</v>
      </c>
      <c r="Q90" s="3">
        <v>126.6</v>
      </c>
      <c r="R90" s="3">
        <v>51.79</v>
      </c>
      <c r="S90" s="3">
        <v>9.9600000000000009</v>
      </c>
      <c r="T90" s="3">
        <v>-41.98</v>
      </c>
      <c r="U90" s="3">
        <v>-112.9</v>
      </c>
      <c r="V90" s="3">
        <v>-177.6</v>
      </c>
      <c r="W90" s="3">
        <v>-345.9</v>
      </c>
      <c r="X90" s="3">
        <v>-342</v>
      </c>
      <c r="Y90" s="3">
        <v>-380.1</v>
      </c>
      <c r="Z90" s="3">
        <v>-299.3</v>
      </c>
      <c r="AA90" s="3">
        <v>-37.950000000000003</v>
      </c>
      <c r="AB90" s="3">
        <v>5.2</v>
      </c>
      <c r="AC90" s="3">
        <v>-0.6</v>
      </c>
    </row>
    <row r="91" spans="1:29" x14ac:dyDescent="0.2">
      <c r="A91" s="3" t="s">
        <v>290</v>
      </c>
      <c r="B91" s="3">
        <v>-15.38</v>
      </c>
      <c r="C91" s="3">
        <v>-11.44</v>
      </c>
      <c r="D91" s="3">
        <v>-13.8</v>
      </c>
      <c r="E91" s="3">
        <v>-7.54</v>
      </c>
      <c r="F91" s="3">
        <v>-3.88</v>
      </c>
      <c r="G91" s="3">
        <v>-9.65</v>
      </c>
      <c r="H91" s="3">
        <v>-10.220000000000001</v>
      </c>
      <c r="I91" s="3">
        <v>-5.97</v>
      </c>
      <c r="J91" s="3">
        <v>-10.74</v>
      </c>
      <c r="K91" s="3">
        <v>-7.41</v>
      </c>
      <c r="L91" s="3">
        <v>-4.3600000000000003</v>
      </c>
      <c r="M91" s="3">
        <v>-0.83099999999999996</v>
      </c>
      <c r="N91" s="3">
        <v>0</v>
      </c>
      <c r="O91" s="3">
        <v>-2.0499999999999998</v>
      </c>
      <c r="P91" s="3">
        <v>-1.46</v>
      </c>
      <c r="Q91" s="3">
        <v>0.60399999999999998</v>
      </c>
      <c r="R91" s="3">
        <v>1.47</v>
      </c>
      <c r="S91" s="3">
        <v>2.93</v>
      </c>
      <c r="T91" s="3">
        <v>3.12</v>
      </c>
      <c r="U91" s="3">
        <v>2.3199999999999998</v>
      </c>
      <c r="V91" s="3">
        <v>3.21</v>
      </c>
      <c r="W91" s="3">
        <v>2.62</v>
      </c>
      <c r="X91" s="3">
        <v>2.15</v>
      </c>
      <c r="Y91" s="3">
        <v>2.4500000000000002</v>
      </c>
      <c r="Z91" s="3">
        <v>0.81899999999999995</v>
      </c>
      <c r="AA91" s="3">
        <v>0.748</v>
      </c>
      <c r="AB91" s="3">
        <v>-4.7</v>
      </c>
      <c r="AC91" s="3">
        <v>-1.1000000000000001</v>
      </c>
    </row>
    <row r="92" spans="1:29" x14ac:dyDescent="0.2">
      <c r="A92" s="3" t="s">
        <v>139</v>
      </c>
      <c r="B92" s="3">
        <v>0.246</v>
      </c>
      <c r="C92" s="3">
        <v>2.5999999999999999E-2</v>
      </c>
      <c r="D92" s="3">
        <v>0.02</v>
      </c>
      <c r="E92" s="3">
        <v>0.02</v>
      </c>
      <c r="F92" s="3">
        <v>1.7999999999999999E-2</v>
      </c>
      <c r="G92" s="3">
        <v>1.7999999999999999E-2</v>
      </c>
      <c r="H92" s="3">
        <v>1.7999999999999999E-2</v>
      </c>
      <c r="I92" s="3">
        <v>1.7999999999999999E-2</v>
      </c>
      <c r="J92" s="3">
        <v>1.7999999999999999E-2</v>
      </c>
      <c r="K92" s="3">
        <v>1.7999999999999999E-2</v>
      </c>
      <c r="L92" s="3">
        <v>1.7999999999999999E-2</v>
      </c>
      <c r="M92" s="3">
        <v>1.7000000000000001E-2</v>
      </c>
      <c r="N92" s="3">
        <v>1.7000000000000001E-2</v>
      </c>
      <c r="O92" s="3">
        <v>1.7000000000000001E-2</v>
      </c>
      <c r="P92" s="3">
        <v>1.7000000000000001E-2</v>
      </c>
      <c r="Q92" s="3">
        <v>1.7000000000000001E-2</v>
      </c>
      <c r="R92" s="3">
        <v>1.7000000000000001E-2</v>
      </c>
      <c r="S92" s="3">
        <v>1.7000000000000001E-2</v>
      </c>
      <c r="T92" s="3">
        <v>1.7000000000000001E-2</v>
      </c>
      <c r="U92" s="3">
        <v>1.6E-2</v>
      </c>
      <c r="V92" s="3">
        <v>1.6E-2</v>
      </c>
      <c r="W92" s="3">
        <v>1.6E-2</v>
      </c>
      <c r="X92" s="3">
        <v>1.4E-2</v>
      </c>
      <c r="Y92" s="3">
        <v>9.1999999999999998E-2</v>
      </c>
      <c r="Z92" s="3">
        <v>8.1000000000000003E-2</v>
      </c>
      <c r="AA92" s="3">
        <v>7.8E-2</v>
      </c>
      <c r="AB92" s="3">
        <v>0</v>
      </c>
      <c r="AC92" s="3">
        <v>0</v>
      </c>
    </row>
    <row r="93" spans="1:29" x14ac:dyDescent="0.2">
      <c r="A93" s="3" t="s">
        <v>291</v>
      </c>
      <c r="B93" s="3">
        <v>0</v>
      </c>
      <c r="C93" s="3">
        <v>0</v>
      </c>
      <c r="D93" s="3">
        <v>0</v>
      </c>
      <c r="E93" s="3">
        <v>0</v>
      </c>
      <c r="F93" s="3">
        <v>0</v>
      </c>
      <c r="G93" s="3">
        <v>0</v>
      </c>
      <c r="H93" s="3">
        <v>0.217</v>
      </c>
      <c r="I93" s="3">
        <v>0</v>
      </c>
      <c r="J93" s="3">
        <v>0</v>
      </c>
      <c r="K93" s="3">
        <v>0.40799999999999997</v>
      </c>
      <c r="L93" s="3">
        <v>0.36299999999999999</v>
      </c>
      <c r="M93" s="3">
        <v>0</v>
      </c>
      <c r="N93" s="3">
        <v>0</v>
      </c>
      <c r="O93" s="3">
        <v>5.1999999999999998E-2</v>
      </c>
      <c r="P93" s="3">
        <v>0.45500000000000002</v>
      </c>
      <c r="Q93" s="3">
        <v>0.39600000000000002</v>
      </c>
      <c r="R93" s="3">
        <v>0</v>
      </c>
      <c r="S93" s="3">
        <v>7.0999999999999994E-2</v>
      </c>
      <c r="T93" s="3">
        <v>0</v>
      </c>
      <c r="U93" s="3">
        <v>0</v>
      </c>
      <c r="V93" s="3">
        <v>0</v>
      </c>
      <c r="W93" s="3">
        <v>0</v>
      </c>
      <c r="X93" s="3">
        <v>0</v>
      </c>
      <c r="Y93" s="3">
        <v>68.650000000000006</v>
      </c>
      <c r="Z93" s="3">
        <v>160.1</v>
      </c>
      <c r="AA93" s="3">
        <v>0</v>
      </c>
      <c r="AB93" s="3">
        <v>0</v>
      </c>
      <c r="AC93" s="3">
        <v>0</v>
      </c>
    </row>
    <row r="94" spans="1:29" x14ac:dyDescent="0.2">
      <c r="A94" s="3" t="s">
        <v>292</v>
      </c>
      <c r="B94" s="4">
        <v>20412</v>
      </c>
      <c r="C94" s="4">
        <v>3176</v>
      </c>
      <c r="D94" s="4">
        <v>1059</v>
      </c>
      <c r="E94" s="3">
        <v>945</v>
      </c>
      <c r="F94" s="3">
        <v>-19.05</v>
      </c>
      <c r="G94" s="3">
        <v>-65.3</v>
      </c>
      <c r="H94" s="3">
        <v>-9.1999999999999993</v>
      </c>
      <c r="I94" s="3">
        <v>84.73</v>
      </c>
      <c r="J94" s="3">
        <v>68.790000000000006</v>
      </c>
      <c r="K94" s="3">
        <v>59.47</v>
      </c>
      <c r="L94" s="3">
        <v>31.54</v>
      </c>
      <c r="M94" s="3">
        <v>18.899999999999999</v>
      </c>
      <c r="N94" s="3">
        <v>-15.71</v>
      </c>
      <c r="O94" s="3">
        <v>-17.350000000000001</v>
      </c>
      <c r="P94" s="3">
        <v>-19.809999999999999</v>
      </c>
      <c r="Q94" s="3">
        <v>86.98</v>
      </c>
      <c r="R94" s="3">
        <v>84.76</v>
      </c>
      <c r="S94" s="3">
        <v>90.42</v>
      </c>
      <c r="T94" s="3">
        <v>172</v>
      </c>
      <c r="U94" s="3">
        <v>291.2</v>
      </c>
      <c r="V94" s="3">
        <v>415</v>
      </c>
      <c r="W94" s="3">
        <v>387.6</v>
      </c>
      <c r="X94" s="3">
        <v>307.5</v>
      </c>
      <c r="Y94" s="3">
        <v>239.6</v>
      </c>
      <c r="Z94" s="3">
        <v>152.80000000000001</v>
      </c>
      <c r="AA94" s="3">
        <v>138.9</v>
      </c>
      <c r="AB94" s="3">
        <v>42.18</v>
      </c>
      <c r="AC94" s="3">
        <v>1.3</v>
      </c>
    </row>
    <row r="95" spans="1:29" x14ac:dyDescent="0.2">
      <c r="A95" s="44" t="s">
        <v>293</v>
      </c>
      <c r="B95" s="4">
        <v>25844</v>
      </c>
      <c r="C95" s="4">
        <v>4763</v>
      </c>
      <c r="D95" s="4">
        <v>2410</v>
      </c>
      <c r="E95" s="4">
        <v>3557</v>
      </c>
      <c r="F95" s="4">
        <v>1466</v>
      </c>
      <c r="G95" s="3">
        <v>916.6</v>
      </c>
      <c r="H95" s="3">
        <v>855.8</v>
      </c>
      <c r="I95" s="3">
        <v>835.7</v>
      </c>
      <c r="J95" s="3">
        <v>768.3</v>
      </c>
      <c r="K95" s="3">
        <v>656.9</v>
      </c>
      <c r="L95" s="3">
        <v>558.79999999999995</v>
      </c>
      <c r="M95" s="3">
        <v>585.5</v>
      </c>
      <c r="N95" s="3">
        <v>0</v>
      </c>
      <c r="O95" s="3">
        <v>453.9</v>
      </c>
      <c r="P95" s="3">
        <v>381.6</v>
      </c>
      <c r="Q95" s="3">
        <v>383.3</v>
      </c>
      <c r="R95" s="3">
        <v>292.10000000000002</v>
      </c>
      <c r="S95" s="3">
        <v>241.4</v>
      </c>
      <c r="T95" s="3">
        <v>248.8</v>
      </c>
      <c r="U95" s="3">
        <v>277.8</v>
      </c>
      <c r="V95" s="3">
        <v>337</v>
      </c>
      <c r="W95" s="3">
        <v>114.8</v>
      </c>
      <c r="X95" s="3">
        <v>79.87</v>
      </c>
      <c r="Y95" s="3">
        <v>103.6</v>
      </c>
      <c r="Z95" s="3">
        <v>259.10000000000002</v>
      </c>
      <c r="AA95" s="3">
        <v>203.4</v>
      </c>
      <c r="AB95" s="3">
        <v>82.7</v>
      </c>
      <c r="AC95" s="3">
        <v>30.1</v>
      </c>
    </row>
    <row r="96" spans="1:29" x14ac:dyDescent="0.2">
      <c r="A96" s="44" t="s">
        <v>294</v>
      </c>
      <c r="B96" s="4">
        <v>25844</v>
      </c>
      <c r="C96" s="4">
        <v>4763</v>
      </c>
      <c r="D96" s="4">
        <v>2410</v>
      </c>
      <c r="E96" s="4">
        <v>3557</v>
      </c>
      <c r="F96" s="4">
        <v>1466</v>
      </c>
      <c r="G96" s="3">
        <v>916.6</v>
      </c>
      <c r="H96" s="3">
        <v>855.8</v>
      </c>
      <c r="I96" s="3">
        <v>835.7</v>
      </c>
      <c r="J96" s="3">
        <v>768.3</v>
      </c>
      <c r="K96" s="3">
        <v>656.9</v>
      </c>
      <c r="L96" s="3">
        <v>558.79999999999995</v>
      </c>
      <c r="M96" s="3">
        <v>585.5</v>
      </c>
      <c r="N96" s="3">
        <v>477.9</v>
      </c>
      <c r="O96" s="3">
        <v>453.9</v>
      </c>
      <c r="P96" s="3">
        <v>381.6</v>
      </c>
      <c r="Q96" s="3">
        <v>383.3</v>
      </c>
      <c r="R96" s="3">
        <v>292.10000000000002</v>
      </c>
      <c r="S96" s="3">
        <v>241.4</v>
      </c>
      <c r="T96" s="3">
        <v>248.8</v>
      </c>
      <c r="U96" s="3">
        <v>277.8</v>
      </c>
      <c r="V96" s="3">
        <v>337</v>
      </c>
      <c r="W96" s="3">
        <v>114.8</v>
      </c>
      <c r="X96" s="3">
        <v>79.87</v>
      </c>
      <c r="Y96" s="3">
        <v>103.6</v>
      </c>
      <c r="Z96" s="3">
        <v>259.10000000000002</v>
      </c>
      <c r="AA96" s="3">
        <v>203.4</v>
      </c>
      <c r="AB96" s="3">
        <v>82.7</v>
      </c>
      <c r="AC96" s="3">
        <v>30.1</v>
      </c>
    </row>
    <row r="97" spans="1:30" x14ac:dyDescent="0.2">
      <c r="A97" s="44" t="s">
        <v>295</v>
      </c>
      <c r="B97" s="3">
        <v>6.8</v>
      </c>
      <c r="C97" s="3">
        <v>0</v>
      </c>
      <c r="D97" s="3">
        <v>0</v>
      </c>
      <c r="E97" s="3">
        <v>0</v>
      </c>
      <c r="F97" s="4">
        <v>1054</v>
      </c>
      <c r="G97" s="3">
        <v>108.9</v>
      </c>
      <c r="H97" s="3">
        <v>466.2</v>
      </c>
      <c r="I97" s="3">
        <v>254.9</v>
      </c>
      <c r="J97" s="3">
        <v>187.4</v>
      </c>
      <c r="K97" s="3">
        <v>193.3</v>
      </c>
      <c r="L97" s="3">
        <v>198.5</v>
      </c>
      <c r="M97" s="3">
        <v>137.19999999999999</v>
      </c>
      <c r="N97" s="3">
        <v>3.5999999999999997E-2</v>
      </c>
      <c r="O97" s="3">
        <v>0.28899999999999998</v>
      </c>
      <c r="P97" s="3">
        <v>0.28399999999999997</v>
      </c>
      <c r="Q97" s="3">
        <v>0.54900000000000004</v>
      </c>
      <c r="R97" s="3">
        <v>0.61899999999999999</v>
      </c>
      <c r="S97" s="3">
        <v>2.98</v>
      </c>
      <c r="T97" s="3">
        <v>1.6E-2</v>
      </c>
      <c r="U97" s="3">
        <v>53.76</v>
      </c>
      <c r="V97" s="3">
        <v>64.180000000000007</v>
      </c>
      <c r="W97" s="3">
        <v>0</v>
      </c>
      <c r="X97" s="3">
        <v>4.3999999999999997E-2</v>
      </c>
      <c r="Y97" s="3">
        <v>0.90400000000000003</v>
      </c>
      <c r="Z97" s="3">
        <v>1.08</v>
      </c>
      <c r="AA97" s="3">
        <v>0</v>
      </c>
      <c r="AB97" s="3">
        <v>0</v>
      </c>
      <c r="AC97" s="3">
        <v>0</v>
      </c>
    </row>
    <row r="98" spans="1:30" x14ac:dyDescent="0.2">
      <c r="A98" s="44" t="s">
        <v>7</v>
      </c>
      <c r="B98" s="4">
        <v>7258</v>
      </c>
      <c r="C98" s="4">
        <v>2254</v>
      </c>
      <c r="D98" s="4">
        <v>2446</v>
      </c>
      <c r="E98" s="4">
        <v>2232</v>
      </c>
      <c r="F98" s="3">
        <v>570.70000000000005</v>
      </c>
      <c r="G98" s="3">
        <v>103.4</v>
      </c>
      <c r="H98" s="3">
        <v>0</v>
      </c>
      <c r="I98" s="3">
        <v>0</v>
      </c>
      <c r="J98" s="3">
        <v>0</v>
      </c>
      <c r="K98" s="3">
        <v>0</v>
      </c>
      <c r="L98" s="3">
        <v>0</v>
      </c>
      <c r="M98" s="3">
        <v>0</v>
      </c>
      <c r="N98" s="3" t="s">
        <v>537</v>
      </c>
      <c r="O98" s="3">
        <v>0</v>
      </c>
      <c r="P98" s="3">
        <v>0</v>
      </c>
      <c r="Q98" s="3">
        <v>0</v>
      </c>
      <c r="R98" s="3">
        <v>0</v>
      </c>
      <c r="S98" s="3">
        <v>0</v>
      </c>
      <c r="T98" s="3">
        <v>0</v>
      </c>
      <c r="U98" s="3">
        <v>0</v>
      </c>
      <c r="V98" s="3">
        <v>0</v>
      </c>
      <c r="W98" s="3">
        <v>0</v>
      </c>
      <c r="X98" s="3">
        <v>49.74</v>
      </c>
      <c r="Y98" s="3">
        <v>1.21</v>
      </c>
      <c r="Z98" s="3">
        <v>0</v>
      </c>
      <c r="AA98" s="3">
        <v>0</v>
      </c>
      <c r="AB98" s="3">
        <v>5</v>
      </c>
      <c r="AC98" s="3">
        <v>3.6</v>
      </c>
    </row>
    <row r="99" spans="1:30" x14ac:dyDescent="0.2">
      <c r="A99" s="44" t="s">
        <v>179</v>
      </c>
      <c r="B99" s="4">
        <v>7219</v>
      </c>
      <c r="C99" s="4">
        <v>2207</v>
      </c>
      <c r="D99" s="4">
        <v>2403</v>
      </c>
      <c r="E99" s="4">
        <v>2168</v>
      </c>
      <c r="F99" s="3">
        <v>511</v>
      </c>
      <c r="G99" s="3">
        <v>-353.3</v>
      </c>
      <c r="H99" s="3">
        <v>-109.9</v>
      </c>
      <c r="I99" s="3">
        <v>-420.2</v>
      </c>
      <c r="J99" s="3">
        <v>-402</v>
      </c>
      <c r="K99" s="3">
        <v>-292.3</v>
      </c>
      <c r="L99" s="3">
        <v>-146.9</v>
      </c>
      <c r="M99" s="3">
        <v>-220.2</v>
      </c>
      <c r="N99" s="3" t="s">
        <v>537</v>
      </c>
      <c r="O99" s="3">
        <v>-199.6</v>
      </c>
      <c r="P99" s="3">
        <v>-174.1</v>
      </c>
      <c r="Q99" s="3">
        <v>-224.8</v>
      </c>
      <c r="R99" s="3">
        <v>-122.9</v>
      </c>
      <c r="S99" s="3">
        <v>-85.19</v>
      </c>
      <c r="T99" s="3">
        <v>-78.98</v>
      </c>
      <c r="U99" s="3">
        <v>-42.32</v>
      </c>
      <c r="V99" s="3">
        <v>-68.31</v>
      </c>
      <c r="W99" s="3">
        <v>-51.88</v>
      </c>
      <c r="X99" s="3">
        <v>34.700000000000003</v>
      </c>
      <c r="Y99" s="3">
        <v>-37.200000000000003</v>
      </c>
      <c r="Z99" s="3">
        <v>-67.69</v>
      </c>
      <c r="AA99" s="3">
        <v>-25.94</v>
      </c>
      <c r="AB99" s="3">
        <v>-22.5</v>
      </c>
      <c r="AC99" s="3">
        <v>0.1</v>
      </c>
    </row>
    <row r="105" spans="1:30" x14ac:dyDescent="0.2">
      <c r="A105" s="79" t="s">
        <v>253</v>
      </c>
      <c r="B105" s="1" t="s">
        <v>254</v>
      </c>
      <c r="C105" s="1">
        <v>2024</v>
      </c>
      <c r="D105" s="1">
        <v>2023</v>
      </c>
      <c r="E105" s="1">
        <v>2022</v>
      </c>
      <c r="F105" s="1">
        <v>2021</v>
      </c>
      <c r="G105" s="1">
        <v>2020</v>
      </c>
      <c r="H105" s="1">
        <v>2019</v>
      </c>
      <c r="I105" s="1">
        <v>2018</v>
      </c>
      <c r="J105" s="1">
        <v>2017</v>
      </c>
      <c r="K105" s="1">
        <v>2016</v>
      </c>
      <c r="L105" s="1">
        <v>2015</v>
      </c>
      <c r="M105" s="1">
        <v>2014</v>
      </c>
      <c r="N105" s="1">
        <v>2013</v>
      </c>
      <c r="O105" s="1">
        <v>2012</v>
      </c>
      <c r="P105" s="1">
        <v>2011</v>
      </c>
      <c r="Q105" s="1">
        <v>2010</v>
      </c>
      <c r="R105" s="1">
        <v>2009</v>
      </c>
      <c r="S105" s="1">
        <v>2008</v>
      </c>
      <c r="T105" s="1">
        <v>2007</v>
      </c>
      <c r="U105" s="1">
        <v>2006</v>
      </c>
      <c r="V105" s="1">
        <v>2005</v>
      </c>
      <c r="W105" s="1">
        <v>2004</v>
      </c>
      <c r="X105" s="1">
        <v>2003</v>
      </c>
      <c r="Y105" s="1">
        <v>2002</v>
      </c>
      <c r="Z105" s="1">
        <v>2001</v>
      </c>
      <c r="AA105" s="1">
        <v>2000</v>
      </c>
      <c r="AB105" s="1">
        <v>1999</v>
      </c>
      <c r="AC105" s="1">
        <v>1998</v>
      </c>
      <c r="AD105" s="1">
        <v>1997</v>
      </c>
    </row>
    <row r="106" spans="1:30" ht="16" customHeight="1" x14ac:dyDescent="0.2">
      <c r="A106" s="79"/>
      <c r="B106" s="40" t="s">
        <v>255</v>
      </c>
      <c r="C106" s="41">
        <v>46022</v>
      </c>
      <c r="D106" s="41">
        <v>46022</v>
      </c>
      <c r="E106" s="41">
        <v>46022</v>
      </c>
      <c r="F106" s="41">
        <v>46022</v>
      </c>
      <c r="G106" s="41">
        <v>46022</v>
      </c>
      <c r="H106" s="41">
        <v>46022</v>
      </c>
      <c r="I106" s="41">
        <v>46022</v>
      </c>
      <c r="J106" s="41">
        <v>46022</v>
      </c>
      <c r="K106" s="41">
        <v>46022</v>
      </c>
      <c r="L106" s="41">
        <v>46022</v>
      </c>
      <c r="M106" s="41">
        <v>46022</v>
      </c>
      <c r="N106" s="41">
        <v>46022</v>
      </c>
      <c r="O106" s="41">
        <v>46022</v>
      </c>
      <c r="P106" s="41">
        <v>46022</v>
      </c>
      <c r="Q106" s="41">
        <v>46022</v>
      </c>
      <c r="R106" s="41">
        <v>46022</v>
      </c>
      <c r="S106" s="41">
        <v>46022</v>
      </c>
      <c r="T106" s="41">
        <v>46022</v>
      </c>
      <c r="U106" s="41">
        <v>46022</v>
      </c>
      <c r="V106" s="41">
        <v>46022</v>
      </c>
      <c r="W106" s="41">
        <v>46022</v>
      </c>
      <c r="X106" s="41">
        <v>46022</v>
      </c>
      <c r="Y106" s="41">
        <v>46022</v>
      </c>
      <c r="Z106" s="41">
        <v>46022</v>
      </c>
      <c r="AA106" s="41">
        <v>46022</v>
      </c>
      <c r="AB106" s="41">
        <v>46022</v>
      </c>
      <c r="AC106" s="41">
        <v>46022</v>
      </c>
      <c r="AD106" s="41">
        <v>46022</v>
      </c>
    </row>
    <row r="107" spans="1:30" ht="16" customHeight="1" x14ac:dyDescent="0.2">
      <c r="A107" s="42" t="s">
        <v>269</v>
      </c>
      <c r="B107" s="43">
        <v>45782</v>
      </c>
      <c r="C107" s="43">
        <v>45706</v>
      </c>
      <c r="D107" s="43">
        <v>45337</v>
      </c>
      <c r="E107" s="43">
        <v>44973</v>
      </c>
      <c r="F107" s="43">
        <v>44608</v>
      </c>
      <c r="G107" s="43">
        <v>44239</v>
      </c>
      <c r="H107" s="43">
        <v>43875</v>
      </c>
      <c r="I107" s="43">
        <v>43516</v>
      </c>
      <c r="J107" s="43">
        <v>43138</v>
      </c>
      <c r="K107" s="43">
        <v>42776</v>
      </c>
      <c r="L107" s="43">
        <v>42426</v>
      </c>
      <c r="M107" s="43">
        <v>42061</v>
      </c>
      <c r="N107" s="43">
        <v>41682</v>
      </c>
      <c r="O107" s="43">
        <v>41318</v>
      </c>
      <c r="P107" s="43">
        <v>40956</v>
      </c>
      <c r="Q107" s="43">
        <v>40592</v>
      </c>
      <c r="R107" s="43">
        <v>40233</v>
      </c>
      <c r="S107" s="43">
        <v>39868</v>
      </c>
      <c r="T107" s="43">
        <v>39497</v>
      </c>
      <c r="U107" s="43">
        <v>39136</v>
      </c>
      <c r="V107" s="43">
        <v>38786</v>
      </c>
      <c r="W107" s="43">
        <v>38427</v>
      </c>
      <c r="X107" s="43">
        <v>38058</v>
      </c>
      <c r="Y107" s="43">
        <v>37694</v>
      </c>
      <c r="Z107" s="43">
        <v>37334</v>
      </c>
      <c r="AA107" s="43">
        <v>36983</v>
      </c>
      <c r="AB107" s="43">
        <v>36629</v>
      </c>
      <c r="AC107" s="43">
        <v>36244</v>
      </c>
      <c r="AD107" s="43">
        <v>35795</v>
      </c>
    </row>
    <row r="108" spans="1:30" x14ac:dyDescent="0.2">
      <c r="A108" s="44" t="s">
        <v>296</v>
      </c>
      <c r="B108" s="4">
        <v>-5331</v>
      </c>
      <c r="C108" s="4">
        <v>-1167</v>
      </c>
      <c r="D108" s="3">
        <v>429.1</v>
      </c>
      <c r="E108" s="4">
        <v>-1470</v>
      </c>
      <c r="F108" s="3">
        <v>-535.5</v>
      </c>
      <c r="G108" s="3">
        <v>-7.52</v>
      </c>
      <c r="H108" s="3">
        <v>34.35</v>
      </c>
      <c r="I108" s="3">
        <v>22.5</v>
      </c>
      <c r="J108" s="3">
        <v>17.64</v>
      </c>
      <c r="K108" s="3">
        <v>90.91</v>
      </c>
      <c r="L108" s="3">
        <v>105.9</v>
      </c>
      <c r="M108" s="3">
        <v>5.04</v>
      </c>
      <c r="N108" s="3">
        <v>83.33</v>
      </c>
      <c r="O108" s="3">
        <v>20.55</v>
      </c>
      <c r="P108" s="3">
        <v>17.940000000000001</v>
      </c>
      <c r="Q108" s="3">
        <v>43.79</v>
      </c>
      <c r="R108" s="3">
        <v>60.51</v>
      </c>
      <c r="S108" s="3">
        <v>41.77</v>
      </c>
      <c r="T108" s="3">
        <v>58.47</v>
      </c>
      <c r="U108" s="3">
        <v>70.88</v>
      </c>
      <c r="V108" s="3">
        <v>64.739999999999995</v>
      </c>
      <c r="W108" s="3">
        <v>168.3</v>
      </c>
      <c r="X108" s="3">
        <v>-4.67</v>
      </c>
      <c r="Y108" s="3">
        <v>38.119999999999997</v>
      </c>
      <c r="Z108" s="3">
        <v>-48.05</v>
      </c>
      <c r="AA108" s="3">
        <v>-261.3</v>
      </c>
      <c r="AB108" s="3">
        <v>-33.74</v>
      </c>
      <c r="AC108" s="3">
        <v>6.9</v>
      </c>
      <c r="AD108" s="3">
        <v>0.3</v>
      </c>
    </row>
    <row r="109" spans="1:30" x14ac:dyDescent="0.2">
      <c r="A109" s="42" t="s">
        <v>297</v>
      </c>
      <c r="B109" s="3">
        <v>-84.01</v>
      </c>
      <c r="C109" s="3">
        <v>-53.03</v>
      </c>
      <c r="D109" s="3">
        <v>12.71</v>
      </c>
      <c r="E109" s="3">
        <v>3.21</v>
      </c>
      <c r="F109" s="3">
        <v>93.83</v>
      </c>
      <c r="G109" s="3">
        <v>53.62</v>
      </c>
      <c r="H109" s="3">
        <v>60.87</v>
      </c>
      <c r="I109" s="3">
        <v>10.63</v>
      </c>
      <c r="J109" s="3">
        <v>78.319999999999993</v>
      </c>
      <c r="K109" s="3">
        <v>110.6</v>
      </c>
      <c r="L109" s="3">
        <v>149.69999999999999</v>
      </c>
      <c r="M109" s="3">
        <v>14.6</v>
      </c>
      <c r="N109" s="3">
        <v>29.93</v>
      </c>
      <c r="O109" s="3">
        <v>49.88</v>
      </c>
      <c r="P109" s="3">
        <v>56.31</v>
      </c>
      <c r="Q109" s="3">
        <v>75.83</v>
      </c>
      <c r="R109" s="3">
        <v>96.44</v>
      </c>
      <c r="S109" s="3">
        <v>88.92</v>
      </c>
      <c r="T109" s="3">
        <v>97.9</v>
      </c>
      <c r="U109" s="3">
        <v>104.4</v>
      </c>
      <c r="V109" s="3">
        <v>102.6</v>
      </c>
      <c r="W109" s="3">
        <v>85.56</v>
      </c>
      <c r="X109" s="3">
        <v>37.06</v>
      </c>
      <c r="Y109" s="3">
        <v>0.66800000000000004</v>
      </c>
      <c r="Z109" s="3">
        <v>-4.87</v>
      </c>
      <c r="AA109" s="3">
        <v>-87.81</v>
      </c>
      <c r="AB109" s="3">
        <v>8.8999999999999996E-2</v>
      </c>
      <c r="AC109" s="3">
        <v>-2.5</v>
      </c>
      <c r="AD109" s="3">
        <v>5</v>
      </c>
    </row>
    <row r="110" spans="1:30" x14ac:dyDescent="0.2">
      <c r="A110" s="42" t="s">
        <v>264</v>
      </c>
      <c r="B110" s="3">
        <v>21.33</v>
      </c>
      <c r="C110" s="3">
        <v>17.809999999999999</v>
      </c>
      <c r="D110" s="3">
        <v>14.53</v>
      </c>
      <c r="E110" s="3">
        <v>10.87</v>
      </c>
      <c r="F110" s="3">
        <v>11.36</v>
      </c>
      <c r="G110" s="3">
        <v>13.33</v>
      </c>
      <c r="H110" s="3">
        <v>16.7</v>
      </c>
      <c r="I110" s="3">
        <v>3.7</v>
      </c>
      <c r="J110" s="3">
        <v>12.57</v>
      </c>
      <c r="K110" s="3">
        <v>17.2</v>
      </c>
      <c r="L110" s="3">
        <v>21.21</v>
      </c>
      <c r="M110" s="3">
        <v>25.3</v>
      </c>
      <c r="N110" s="3">
        <v>26.4</v>
      </c>
      <c r="O110" s="3">
        <v>24.52</v>
      </c>
      <c r="P110" s="3">
        <v>18.53</v>
      </c>
      <c r="Q110" s="3">
        <v>12.8</v>
      </c>
      <c r="R110" s="3">
        <v>10.63</v>
      </c>
      <c r="S110" s="3">
        <v>6.4</v>
      </c>
      <c r="T110" s="3">
        <v>7.6</v>
      </c>
      <c r="U110" s="3">
        <v>7.63</v>
      </c>
      <c r="V110" s="3">
        <v>8.5</v>
      </c>
      <c r="W110" s="3">
        <v>8.32</v>
      </c>
      <c r="X110" s="3">
        <v>8.83</v>
      </c>
      <c r="Y110" s="3">
        <v>13.11</v>
      </c>
      <c r="Z110" s="3">
        <v>29.56</v>
      </c>
      <c r="AA110" s="3">
        <v>35.159999999999997</v>
      </c>
      <c r="AB110" s="3">
        <v>8.11</v>
      </c>
      <c r="AC110" s="3">
        <v>3.3</v>
      </c>
      <c r="AD110" s="3">
        <v>1.2</v>
      </c>
    </row>
    <row r="111" spans="1:30" x14ac:dyDescent="0.2">
      <c r="A111" s="42" t="s">
        <v>298</v>
      </c>
      <c r="B111" s="4">
        <v>-2343</v>
      </c>
      <c r="C111" s="3">
        <v>-775.9</v>
      </c>
      <c r="D111" s="3">
        <v>-569.5</v>
      </c>
      <c r="E111" s="3">
        <v>131.1</v>
      </c>
      <c r="F111" s="3">
        <v>-284.8</v>
      </c>
      <c r="G111" s="3">
        <v>-20.83</v>
      </c>
      <c r="H111" s="3">
        <v>-5.45</v>
      </c>
      <c r="I111" s="3">
        <v>-8.27</v>
      </c>
      <c r="J111" s="3">
        <v>-2.0099999999999998</v>
      </c>
      <c r="K111" s="3">
        <v>-5.38</v>
      </c>
      <c r="L111" s="3">
        <v>8.77</v>
      </c>
      <c r="M111" s="3">
        <v>-1.53</v>
      </c>
      <c r="N111" s="3">
        <v>-17.96</v>
      </c>
      <c r="O111" s="3">
        <v>-7.9000000000000001E-2</v>
      </c>
      <c r="P111" s="3">
        <v>-5.4</v>
      </c>
      <c r="Q111" s="3">
        <v>1.69</v>
      </c>
      <c r="R111" s="3">
        <v>16.149999999999999</v>
      </c>
      <c r="S111" s="3">
        <v>20.93</v>
      </c>
      <c r="T111" s="3">
        <v>26.14</v>
      </c>
      <c r="U111" s="3">
        <v>26.53</v>
      </c>
      <c r="V111" s="3">
        <v>27.99</v>
      </c>
      <c r="W111" s="3">
        <v>5.75</v>
      </c>
      <c r="X111" s="3">
        <v>-9.92</v>
      </c>
      <c r="Y111" s="3">
        <v>9.5299999999999994</v>
      </c>
      <c r="Z111" s="3">
        <v>0</v>
      </c>
      <c r="AA111" s="3">
        <v>0</v>
      </c>
      <c r="AB111" s="3">
        <v>0</v>
      </c>
      <c r="AC111" s="3">
        <v>0</v>
      </c>
      <c r="AD111" s="3">
        <v>0</v>
      </c>
    </row>
    <row r="112" spans="1:30" x14ac:dyDescent="0.2">
      <c r="A112" s="42" t="s">
        <v>299</v>
      </c>
      <c r="B112" s="3">
        <v>71.150000000000006</v>
      </c>
      <c r="C112" s="3">
        <v>77.12</v>
      </c>
      <c r="D112" s="3">
        <v>69.569999999999993</v>
      </c>
      <c r="E112" s="3">
        <v>63.62</v>
      </c>
      <c r="F112" s="3">
        <v>44.13</v>
      </c>
      <c r="G112" s="3">
        <v>11.15</v>
      </c>
      <c r="H112" s="3">
        <v>10.210000000000001</v>
      </c>
      <c r="I112" s="3">
        <v>14.64</v>
      </c>
      <c r="J112" s="3">
        <v>14.27</v>
      </c>
      <c r="K112" s="3">
        <v>11.82</v>
      </c>
      <c r="L112" s="3">
        <v>17.3</v>
      </c>
      <c r="M112" s="3">
        <v>11.79</v>
      </c>
      <c r="N112" s="3">
        <v>2.08</v>
      </c>
      <c r="O112" s="3">
        <v>5.43</v>
      </c>
      <c r="P112" s="3">
        <v>-0.74099999999999999</v>
      </c>
      <c r="Q112" s="3">
        <v>2.04</v>
      </c>
      <c r="R112" s="3">
        <v>2.04</v>
      </c>
      <c r="S112" s="3">
        <v>4.5999999999999999E-2</v>
      </c>
      <c r="T112" s="3">
        <v>1.34</v>
      </c>
      <c r="U112" s="3">
        <v>1.34</v>
      </c>
      <c r="V112" s="3">
        <v>3.76</v>
      </c>
      <c r="W112" s="3">
        <v>11.79</v>
      </c>
      <c r="X112" s="3">
        <v>-9.5299999999999994</v>
      </c>
      <c r="Y112" s="3">
        <v>-9.5299999999999994</v>
      </c>
      <c r="Z112" s="3">
        <v>0</v>
      </c>
      <c r="AA112" s="3">
        <v>0</v>
      </c>
      <c r="AB112" s="3">
        <v>0</v>
      </c>
      <c r="AC112" s="3">
        <v>0</v>
      </c>
      <c r="AD112" s="3">
        <v>0</v>
      </c>
    </row>
    <row r="113" spans="1:30" x14ac:dyDescent="0.2">
      <c r="A113" s="42" t="s">
        <v>300</v>
      </c>
      <c r="B113" s="4">
        <v>7555</v>
      </c>
      <c r="C113" s="4">
        <v>1837</v>
      </c>
      <c r="D113" s="3">
        <v>90</v>
      </c>
      <c r="E113" s="4">
        <v>1304</v>
      </c>
      <c r="F113" s="3">
        <v>847.5</v>
      </c>
      <c r="G113" s="3">
        <v>80.27</v>
      </c>
      <c r="H113" s="3">
        <v>0.16500000000000001</v>
      </c>
      <c r="I113" s="3">
        <v>2.06</v>
      </c>
      <c r="J113" s="3">
        <v>2.27</v>
      </c>
      <c r="K113" s="3">
        <v>-1.02</v>
      </c>
      <c r="L113" s="3">
        <v>1.01</v>
      </c>
      <c r="M113" s="3">
        <v>1.49</v>
      </c>
      <c r="N113" s="3">
        <v>-78.75</v>
      </c>
      <c r="O113" s="3">
        <v>-0.45400000000000001</v>
      </c>
      <c r="P113" s="3">
        <v>-5.65</v>
      </c>
      <c r="Q113" s="3">
        <v>0.72399999999999998</v>
      </c>
      <c r="R113" s="3">
        <v>-1.55</v>
      </c>
      <c r="S113" s="3">
        <v>4.8099999999999996</v>
      </c>
      <c r="T113" s="3">
        <v>-0.42199999999999999</v>
      </c>
      <c r="U113" s="3">
        <v>-3.3</v>
      </c>
      <c r="V113" s="3">
        <v>-4.3899999999999997</v>
      </c>
      <c r="W113" s="3">
        <v>-118.6</v>
      </c>
      <c r="X113" s="3">
        <v>55.62</v>
      </c>
      <c r="Y113" s="3">
        <v>-30.29</v>
      </c>
      <c r="Z113" s="3">
        <v>20.09</v>
      </c>
      <c r="AA113" s="3">
        <v>124.2</v>
      </c>
      <c r="AB113" s="3">
        <v>4.68</v>
      </c>
      <c r="AC113" s="3">
        <v>0.2</v>
      </c>
      <c r="AD113" s="3">
        <v>0.2</v>
      </c>
    </row>
    <row r="114" spans="1:30" x14ac:dyDescent="0.2">
      <c r="A114" s="42" t="s">
        <v>301</v>
      </c>
      <c r="B114" s="3">
        <v>-57.78</v>
      </c>
      <c r="C114" s="3">
        <v>-42.71</v>
      </c>
      <c r="D114" s="3">
        <v>-21.05</v>
      </c>
      <c r="E114" s="3">
        <v>-36.61</v>
      </c>
      <c r="F114" s="3">
        <v>11.09</v>
      </c>
      <c r="G114" s="3">
        <v>-22.78</v>
      </c>
      <c r="H114" s="3">
        <v>4.8899999999999997</v>
      </c>
      <c r="I114" s="3">
        <v>-24</v>
      </c>
      <c r="J114" s="3">
        <v>33.58</v>
      </c>
      <c r="K114" s="3">
        <v>-2.93</v>
      </c>
      <c r="L114" s="3">
        <v>-4.53</v>
      </c>
      <c r="M114" s="3">
        <v>-27.48</v>
      </c>
      <c r="N114" s="3">
        <v>14.83</v>
      </c>
      <c r="O114" s="3">
        <v>-7.9000000000000001E-2</v>
      </c>
      <c r="P114" s="3">
        <v>31.64</v>
      </c>
      <c r="Q114" s="3">
        <v>14.78</v>
      </c>
      <c r="R114" s="3">
        <v>8.66</v>
      </c>
      <c r="S114" s="3">
        <v>14.97</v>
      </c>
      <c r="T114" s="3">
        <v>4.78</v>
      </c>
      <c r="U114" s="3">
        <v>1.34</v>
      </c>
      <c r="V114" s="3">
        <v>1.95</v>
      </c>
      <c r="W114" s="3">
        <v>9.9600000000000009</v>
      </c>
      <c r="X114" s="3">
        <v>-3.29</v>
      </c>
      <c r="Y114" s="3">
        <v>-20.27</v>
      </c>
      <c r="Z114" s="3">
        <v>-6.46</v>
      </c>
      <c r="AA114" s="3">
        <v>14.16</v>
      </c>
      <c r="AB114" s="3">
        <v>21.05</v>
      </c>
      <c r="AC114" s="3">
        <v>-12.9</v>
      </c>
      <c r="AD114" s="3">
        <v>3.3</v>
      </c>
    </row>
    <row r="115" spans="1:30" x14ac:dyDescent="0.2">
      <c r="A115" s="3" t="s">
        <v>302</v>
      </c>
      <c r="B115" s="3">
        <v>4.04</v>
      </c>
      <c r="C115" s="3">
        <v>5.69</v>
      </c>
      <c r="D115" s="3">
        <v>10.31</v>
      </c>
      <c r="E115" s="3">
        <v>-5.29</v>
      </c>
      <c r="F115" s="3">
        <v>2.62</v>
      </c>
      <c r="G115" s="3">
        <v>-0.77400000000000002</v>
      </c>
      <c r="H115" s="3">
        <v>-3.67</v>
      </c>
      <c r="I115" s="3">
        <v>-8.36</v>
      </c>
      <c r="J115" s="3">
        <v>15.35</v>
      </c>
      <c r="K115" s="3">
        <v>-16.88</v>
      </c>
      <c r="L115" s="3">
        <v>5</v>
      </c>
      <c r="M115" s="3">
        <v>-0.27600000000000002</v>
      </c>
      <c r="N115" s="3">
        <v>0.67600000000000005</v>
      </c>
      <c r="O115" s="3">
        <v>-3.44</v>
      </c>
      <c r="P115" s="3">
        <v>-15.14</v>
      </c>
      <c r="Q115" s="3">
        <v>-30.13</v>
      </c>
      <c r="R115" s="3">
        <v>-9.26</v>
      </c>
      <c r="S115" s="3">
        <v>-2.98</v>
      </c>
      <c r="T115" s="3">
        <v>-10.73</v>
      </c>
      <c r="U115" s="3">
        <v>-10.73</v>
      </c>
      <c r="V115" s="3">
        <v>-3.68</v>
      </c>
      <c r="W115" s="3">
        <v>-8.8000000000000007</v>
      </c>
      <c r="X115" s="3">
        <v>-5.05</v>
      </c>
      <c r="Y115" s="3">
        <v>-5.05</v>
      </c>
      <c r="Z115" s="3">
        <v>0</v>
      </c>
      <c r="AA115" s="3">
        <v>0</v>
      </c>
      <c r="AB115" s="3">
        <v>0</v>
      </c>
      <c r="AC115" s="3">
        <v>0</v>
      </c>
      <c r="AD115" s="3">
        <v>0</v>
      </c>
    </row>
    <row r="116" spans="1:30" x14ac:dyDescent="0.2">
      <c r="A116" s="3" t="s">
        <v>124</v>
      </c>
      <c r="B116" s="3">
        <v>0</v>
      </c>
      <c r="C116" s="3">
        <v>0</v>
      </c>
      <c r="D116" s="3">
        <v>0</v>
      </c>
      <c r="E116" s="3">
        <v>0</v>
      </c>
      <c r="F116" s="3">
        <v>-12.36</v>
      </c>
      <c r="G116" s="3">
        <v>-4.4000000000000004</v>
      </c>
      <c r="H116" s="3">
        <v>-2.29</v>
      </c>
      <c r="I116" s="3">
        <v>-2.0099999999999998</v>
      </c>
      <c r="J116" s="3">
        <v>32.619999999999997</v>
      </c>
      <c r="K116" s="3">
        <v>-8.06</v>
      </c>
      <c r="L116" s="3">
        <v>1.1299999999999999</v>
      </c>
      <c r="M116" s="3">
        <v>0.64500000000000002</v>
      </c>
      <c r="N116" s="3">
        <v>-2.7</v>
      </c>
      <c r="O116" s="3">
        <v>-1.36</v>
      </c>
      <c r="P116" s="3">
        <v>16.3</v>
      </c>
      <c r="Q116" s="3">
        <v>4.59</v>
      </c>
      <c r="R116" s="3">
        <v>13.53</v>
      </c>
      <c r="S116" s="3">
        <v>-9.0299999999999994</v>
      </c>
      <c r="T116" s="3">
        <v>2.4</v>
      </c>
      <c r="U116" s="3">
        <v>-3.29</v>
      </c>
      <c r="V116" s="3">
        <v>0</v>
      </c>
      <c r="W116" s="3">
        <v>0</v>
      </c>
      <c r="X116" s="3">
        <v>0</v>
      </c>
      <c r="Y116" s="3">
        <v>0</v>
      </c>
      <c r="Z116" s="3">
        <v>0</v>
      </c>
      <c r="AA116" s="3">
        <v>0</v>
      </c>
      <c r="AB116" s="3">
        <v>0</v>
      </c>
      <c r="AC116" s="3">
        <v>0</v>
      </c>
      <c r="AD116" s="3">
        <v>0</v>
      </c>
    </row>
    <row r="117" spans="1:30" ht="17" customHeight="1" x14ac:dyDescent="0.2">
      <c r="A117" s="3" t="s">
        <v>130</v>
      </c>
      <c r="B117" s="3">
        <v>1.72</v>
      </c>
      <c r="C117" s="3">
        <v>1.1399999999999999</v>
      </c>
      <c r="D117" s="3">
        <v>-0.63400000000000001</v>
      </c>
      <c r="E117" s="3">
        <v>-3.52</v>
      </c>
      <c r="F117" s="3">
        <v>3.75</v>
      </c>
      <c r="G117" s="3">
        <v>9.4499999999999993</v>
      </c>
      <c r="H117" s="3">
        <v>-7.32</v>
      </c>
      <c r="I117" s="3">
        <v>3.38</v>
      </c>
      <c r="J117" s="3">
        <v>-9.09</v>
      </c>
      <c r="K117" s="3">
        <v>6.98</v>
      </c>
      <c r="L117" s="3">
        <v>1.9</v>
      </c>
      <c r="M117" s="3">
        <v>-1.7</v>
      </c>
      <c r="N117" s="3">
        <v>-4.79</v>
      </c>
      <c r="O117" s="3">
        <v>3.15</v>
      </c>
      <c r="P117" s="3">
        <v>4.6500000000000004</v>
      </c>
      <c r="Q117" s="3">
        <v>1.08</v>
      </c>
      <c r="R117" s="3">
        <v>1.08</v>
      </c>
      <c r="S117" s="3">
        <v>10.68</v>
      </c>
      <c r="T117" s="3">
        <v>8.2899999999999991</v>
      </c>
      <c r="U117" s="3">
        <v>8.2899999999999991</v>
      </c>
      <c r="V117" s="3">
        <v>0</v>
      </c>
      <c r="W117" s="3">
        <v>0</v>
      </c>
      <c r="X117" s="3">
        <v>0</v>
      </c>
      <c r="Y117" s="3">
        <v>0</v>
      </c>
      <c r="Z117" s="3">
        <v>0</v>
      </c>
      <c r="AA117" s="3">
        <v>0</v>
      </c>
      <c r="AB117" s="3">
        <v>0</v>
      </c>
      <c r="AC117" s="3">
        <v>0</v>
      </c>
      <c r="AD117" s="3">
        <v>0</v>
      </c>
    </row>
    <row r="118" spans="1:30" x14ac:dyDescent="0.2">
      <c r="A118" s="3" t="s">
        <v>281</v>
      </c>
      <c r="B118" s="3">
        <v>-63.54</v>
      </c>
      <c r="C118" s="3">
        <v>-49.54</v>
      </c>
      <c r="D118" s="3">
        <v>-30.73</v>
      </c>
      <c r="E118" s="3">
        <v>-27.8</v>
      </c>
      <c r="F118" s="3">
        <v>17.079999999999998</v>
      </c>
      <c r="G118" s="3">
        <v>-27.05</v>
      </c>
      <c r="H118" s="3">
        <v>18.18</v>
      </c>
      <c r="I118" s="3">
        <v>-17.010000000000002</v>
      </c>
      <c r="J118" s="3">
        <v>-5.29</v>
      </c>
      <c r="K118" s="3">
        <v>15.03</v>
      </c>
      <c r="L118" s="3">
        <v>-12.56</v>
      </c>
      <c r="M118" s="3">
        <v>-26.14</v>
      </c>
      <c r="N118" s="3">
        <v>21.64</v>
      </c>
      <c r="O118" s="3">
        <v>1.57</v>
      </c>
      <c r="P118" s="3">
        <v>25.83</v>
      </c>
      <c r="Q118" s="3">
        <v>39.24</v>
      </c>
      <c r="R118" s="3">
        <v>3.32</v>
      </c>
      <c r="S118" s="3">
        <v>16.3</v>
      </c>
      <c r="T118" s="3">
        <v>4.8099999999999996</v>
      </c>
      <c r="U118" s="3">
        <v>7.07</v>
      </c>
      <c r="V118" s="3">
        <v>5.63</v>
      </c>
      <c r="W118" s="3">
        <v>18.760000000000002</v>
      </c>
      <c r="X118" s="3">
        <v>1.76</v>
      </c>
      <c r="Y118" s="3">
        <v>-15.23</v>
      </c>
      <c r="Z118" s="3">
        <v>-6.46</v>
      </c>
      <c r="AA118" s="3">
        <v>14.16</v>
      </c>
      <c r="AB118" s="3">
        <v>21.05</v>
      </c>
      <c r="AC118" s="3">
        <v>-12.9</v>
      </c>
      <c r="AD118" s="3">
        <v>3.3</v>
      </c>
    </row>
    <row r="119" spans="1:30" x14ac:dyDescent="0.2">
      <c r="A119" s="3" t="s">
        <v>303</v>
      </c>
      <c r="B119" s="3">
        <v>0</v>
      </c>
      <c r="C119" s="3">
        <v>0</v>
      </c>
      <c r="D119" s="3">
        <v>0</v>
      </c>
      <c r="E119" s="3">
        <v>0</v>
      </c>
      <c r="F119" s="3">
        <v>0</v>
      </c>
      <c r="G119" s="3">
        <v>0</v>
      </c>
      <c r="H119" s="3">
        <v>0</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0</v>
      </c>
      <c r="AD119" s="3">
        <v>0</v>
      </c>
    </row>
    <row r="120" spans="1:30" x14ac:dyDescent="0.2">
      <c r="A120" s="42" t="s">
        <v>304</v>
      </c>
      <c r="B120" s="4">
        <v>-28116</v>
      </c>
      <c r="C120" s="4">
        <v>-22086</v>
      </c>
      <c r="D120" s="4">
        <v>-1905</v>
      </c>
      <c r="E120" s="3">
        <v>-278.60000000000002</v>
      </c>
      <c r="F120" s="4">
        <v>-2629</v>
      </c>
      <c r="G120" s="4">
        <v>-1019</v>
      </c>
      <c r="H120" s="3">
        <v>353.7</v>
      </c>
      <c r="I120" s="3">
        <v>-209.1</v>
      </c>
      <c r="J120" s="3">
        <v>-69.73</v>
      </c>
      <c r="K120" s="3">
        <v>4.21</v>
      </c>
      <c r="L120" s="3">
        <v>-7.68</v>
      </c>
      <c r="M120" s="3">
        <v>-82.11</v>
      </c>
      <c r="N120" s="3">
        <v>-54.93</v>
      </c>
      <c r="O120" s="3">
        <v>-35.83</v>
      </c>
      <c r="P120" s="3">
        <v>-36.18</v>
      </c>
      <c r="Q120" s="3">
        <v>-17.43</v>
      </c>
      <c r="R120" s="3">
        <v>2.64</v>
      </c>
      <c r="S120" s="3">
        <v>-42.8</v>
      </c>
      <c r="T120" s="3">
        <v>-12.7</v>
      </c>
      <c r="U120" s="3">
        <v>50.33</v>
      </c>
      <c r="V120" s="3">
        <v>4.32</v>
      </c>
      <c r="W120" s="3">
        <v>-74.39</v>
      </c>
      <c r="X120" s="3">
        <v>0.20100000000000001</v>
      </c>
      <c r="Y120" s="3">
        <v>-9.73</v>
      </c>
      <c r="Z120" s="3">
        <v>26.36</v>
      </c>
      <c r="AA120" s="3">
        <v>-37.729999999999997</v>
      </c>
      <c r="AB120" s="3">
        <v>-43.22</v>
      </c>
      <c r="AC120" s="3">
        <v>-9.3000000000000007</v>
      </c>
      <c r="AD120" s="3">
        <v>-7.9</v>
      </c>
    </row>
    <row r="121" spans="1:30" x14ac:dyDescent="0.2">
      <c r="A121" s="42" t="s">
        <v>305</v>
      </c>
      <c r="B121" s="4">
        <v>2412</v>
      </c>
      <c r="C121" s="3">
        <v>-13.48</v>
      </c>
      <c r="D121" s="3">
        <v>-2.94</v>
      </c>
      <c r="E121" s="3">
        <v>-290.39999999999998</v>
      </c>
      <c r="F121" s="3">
        <v>-2.71</v>
      </c>
      <c r="G121" s="4">
        <v>-1129</v>
      </c>
      <c r="H121" s="3">
        <v>-10.18</v>
      </c>
      <c r="I121" s="3">
        <v>-6.85</v>
      </c>
      <c r="J121" s="3">
        <v>-3.98</v>
      </c>
      <c r="K121" s="3">
        <v>-2.34</v>
      </c>
      <c r="L121" s="3">
        <v>-13.08</v>
      </c>
      <c r="M121" s="3">
        <v>-20.8</v>
      </c>
      <c r="N121" s="3">
        <v>-16.48</v>
      </c>
      <c r="O121" s="3">
        <v>-39.26</v>
      </c>
      <c r="P121" s="3">
        <v>-46.57</v>
      </c>
      <c r="Q121" s="3">
        <v>-18.47</v>
      </c>
      <c r="R121" s="3">
        <v>-22.48</v>
      </c>
      <c r="S121" s="3">
        <v>-43.74</v>
      </c>
      <c r="T121" s="3">
        <v>-6.13</v>
      </c>
      <c r="U121" s="3">
        <v>-4.8099999999999996</v>
      </c>
      <c r="V121" s="3">
        <v>-1.91</v>
      </c>
      <c r="W121" s="3">
        <v>-5.65</v>
      </c>
      <c r="X121" s="3">
        <v>-4.18</v>
      </c>
      <c r="Y121" s="3">
        <v>-4.33</v>
      </c>
      <c r="Z121" s="3">
        <v>-1.88</v>
      </c>
      <c r="AA121" s="3">
        <v>-47.42</v>
      </c>
      <c r="AB121" s="3">
        <v>-23.73</v>
      </c>
      <c r="AC121" s="3">
        <v>-9.3000000000000007</v>
      </c>
      <c r="AD121" s="3">
        <v>-7.9</v>
      </c>
    </row>
    <row r="122" spans="1:30" x14ac:dyDescent="0.2">
      <c r="A122" s="42" t="s">
        <v>306</v>
      </c>
      <c r="B122" s="3">
        <v>0</v>
      </c>
      <c r="C122" s="3">
        <v>0</v>
      </c>
      <c r="D122" s="3">
        <v>0</v>
      </c>
      <c r="E122" s="3">
        <v>0</v>
      </c>
      <c r="F122" s="3">
        <v>0</v>
      </c>
      <c r="G122" s="4">
        <v>1125</v>
      </c>
      <c r="H122" s="3">
        <v>-363.9</v>
      </c>
      <c r="I122" s="3">
        <v>0</v>
      </c>
      <c r="J122" s="3">
        <v>69.73</v>
      </c>
      <c r="K122" s="3">
        <v>0</v>
      </c>
      <c r="L122" s="3">
        <v>-9.6</v>
      </c>
      <c r="M122" s="3">
        <v>-8.4</v>
      </c>
      <c r="N122" s="3">
        <v>93.7</v>
      </c>
      <c r="O122" s="3">
        <v>0</v>
      </c>
      <c r="P122" s="3">
        <v>0</v>
      </c>
      <c r="Q122" s="3">
        <v>0</v>
      </c>
      <c r="R122" s="3">
        <v>0</v>
      </c>
      <c r="S122" s="3">
        <v>0</v>
      </c>
      <c r="T122" s="3">
        <v>-53.77</v>
      </c>
      <c r="U122" s="3">
        <v>0</v>
      </c>
      <c r="V122" s="3">
        <v>0</v>
      </c>
      <c r="W122" s="3">
        <v>-8.3000000000000004E-2</v>
      </c>
      <c r="X122" s="3">
        <v>0</v>
      </c>
      <c r="Y122" s="3">
        <v>0</v>
      </c>
      <c r="Z122" s="3">
        <v>0</v>
      </c>
      <c r="AA122" s="3">
        <v>0</v>
      </c>
      <c r="AB122" s="3">
        <v>0</v>
      </c>
      <c r="AC122" s="3">
        <v>0</v>
      </c>
      <c r="AD122" s="3">
        <v>0</v>
      </c>
    </row>
    <row r="123" spans="1:30" x14ac:dyDescent="0.2">
      <c r="A123" s="42" t="s">
        <v>307</v>
      </c>
      <c r="B123" s="3">
        <v>0</v>
      </c>
      <c r="C123" s="3">
        <v>0</v>
      </c>
      <c r="D123" s="3">
        <v>0</v>
      </c>
      <c r="E123" s="3">
        <v>0</v>
      </c>
      <c r="F123" s="3">
        <v>0</v>
      </c>
      <c r="G123" s="3">
        <v>-9.93</v>
      </c>
      <c r="H123" s="3">
        <v>-320.5</v>
      </c>
      <c r="I123" s="3">
        <v>-694</v>
      </c>
      <c r="J123" s="3">
        <v>-456.5</v>
      </c>
      <c r="K123" s="3">
        <v>-355</v>
      </c>
      <c r="L123" s="3">
        <v>-473.8</v>
      </c>
      <c r="M123" s="3">
        <v>-370.1</v>
      </c>
      <c r="N123" s="3">
        <v>-224.1</v>
      </c>
      <c r="O123" s="3">
        <v>0</v>
      </c>
      <c r="P123" s="3">
        <v>0</v>
      </c>
      <c r="Q123" s="3">
        <v>0</v>
      </c>
      <c r="R123" s="3">
        <v>0</v>
      </c>
      <c r="S123" s="3">
        <v>0</v>
      </c>
      <c r="T123" s="3">
        <v>-58.9</v>
      </c>
      <c r="U123" s="3">
        <v>-58.9</v>
      </c>
      <c r="V123" s="3">
        <v>-169.2</v>
      </c>
      <c r="W123" s="3">
        <v>-64.09</v>
      </c>
      <c r="X123" s="3">
        <v>0</v>
      </c>
      <c r="Y123" s="3">
        <v>0</v>
      </c>
      <c r="Z123" s="3">
        <v>-1.94</v>
      </c>
      <c r="AA123" s="3">
        <v>-1.5</v>
      </c>
      <c r="AB123" s="3">
        <v>-24.49</v>
      </c>
      <c r="AC123" s="3">
        <v>0</v>
      </c>
      <c r="AD123" s="3">
        <v>0</v>
      </c>
    </row>
    <row r="124" spans="1:30" x14ac:dyDescent="0.2">
      <c r="A124" s="42" t="s">
        <v>308</v>
      </c>
      <c r="B124" s="3">
        <v>0</v>
      </c>
      <c r="C124" s="3">
        <v>0</v>
      </c>
      <c r="D124" s="3">
        <v>0</v>
      </c>
      <c r="E124" s="3">
        <v>0</v>
      </c>
      <c r="F124" s="3">
        <v>0</v>
      </c>
      <c r="G124" s="3">
        <v>119.9</v>
      </c>
      <c r="H124" s="3">
        <v>684.4</v>
      </c>
      <c r="I124" s="3">
        <v>491.8</v>
      </c>
      <c r="J124" s="3">
        <v>390.7</v>
      </c>
      <c r="K124" s="3">
        <v>361.7</v>
      </c>
      <c r="L124" s="3">
        <v>479.2</v>
      </c>
      <c r="M124" s="3">
        <v>308.89999999999998</v>
      </c>
      <c r="N124" s="3">
        <v>87</v>
      </c>
      <c r="O124" s="3">
        <v>0</v>
      </c>
      <c r="P124" s="3">
        <v>3.37</v>
      </c>
      <c r="Q124" s="3">
        <v>1.05</v>
      </c>
      <c r="R124" s="3">
        <v>0.57499999999999996</v>
      </c>
      <c r="S124" s="3">
        <v>1.1000000000000001</v>
      </c>
      <c r="T124" s="3">
        <v>112.7</v>
      </c>
      <c r="U124" s="3">
        <v>112.7</v>
      </c>
      <c r="V124" s="3">
        <v>180.3</v>
      </c>
      <c r="W124" s="3">
        <v>8.3000000000000004E-2</v>
      </c>
      <c r="X124" s="3">
        <v>0.81100000000000005</v>
      </c>
      <c r="Y124" s="3">
        <v>0.28799999999999998</v>
      </c>
      <c r="Z124" s="3">
        <v>4.74</v>
      </c>
      <c r="AA124" s="3">
        <v>45.26</v>
      </c>
      <c r="AB124" s="3">
        <v>5</v>
      </c>
      <c r="AC124" s="3">
        <v>0</v>
      </c>
      <c r="AD124" s="3">
        <v>0</v>
      </c>
    </row>
    <row r="125" spans="1:30" x14ac:dyDescent="0.2">
      <c r="A125" s="42" t="s">
        <v>158</v>
      </c>
      <c r="B125" s="4">
        <v>-30528</v>
      </c>
      <c r="C125" s="4">
        <v>-22073</v>
      </c>
      <c r="D125" s="4">
        <v>-1902</v>
      </c>
      <c r="E125" s="3">
        <v>11.82</v>
      </c>
      <c r="F125" s="4">
        <v>-2627</v>
      </c>
      <c r="G125" s="4">
        <v>-1125</v>
      </c>
      <c r="H125" s="3">
        <v>363.9</v>
      </c>
      <c r="I125" s="3">
        <v>-202.2</v>
      </c>
      <c r="J125" s="3">
        <v>-69.73</v>
      </c>
      <c r="K125" s="3">
        <v>-0.13500000000000001</v>
      </c>
      <c r="L125" s="3">
        <v>9.58</v>
      </c>
      <c r="M125" s="3">
        <v>8.23</v>
      </c>
      <c r="N125" s="3">
        <v>4.95</v>
      </c>
      <c r="O125" s="3">
        <v>3.43</v>
      </c>
      <c r="P125" s="3">
        <v>7.01</v>
      </c>
      <c r="Q125" s="3">
        <v>-3.64</v>
      </c>
      <c r="R125" s="3">
        <v>24.55</v>
      </c>
      <c r="S125" s="3">
        <v>-0.16</v>
      </c>
      <c r="T125" s="3">
        <v>-6.57</v>
      </c>
      <c r="U125" s="3">
        <v>1.37</v>
      </c>
      <c r="V125" s="3">
        <v>-4.8600000000000003</v>
      </c>
      <c r="W125" s="3">
        <v>-4.6500000000000004</v>
      </c>
      <c r="X125" s="3">
        <v>3.57</v>
      </c>
      <c r="Y125" s="3">
        <v>-5.7</v>
      </c>
      <c r="Z125" s="3">
        <v>25.45</v>
      </c>
      <c r="AA125" s="3">
        <v>-34.07</v>
      </c>
      <c r="AB125" s="3">
        <v>0</v>
      </c>
      <c r="AC125" s="3">
        <v>0</v>
      </c>
      <c r="AD125" s="3">
        <v>0</v>
      </c>
    </row>
    <row r="126" spans="1:30" x14ac:dyDescent="0.2">
      <c r="A126" s="42" t="s">
        <v>309</v>
      </c>
      <c r="B126" s="4">
        <v>28179</v>
      </c>
      <c r="C126" s="4">
        <v>22133</v>
      </c>
      <c r="D126" s="4">
        <v>1890</v>
      </c>
      <c r="E126" s="3">
        <v>265.2</v>
      </c>
      <c r="F126" s="4">
        <v>2542</v>
      </c>
      <c r="G126" s="3">
        <v>563.20000000000005</v>
      </c>
      <c r="H126" s="3">
        <v>-66.150000000000006</v>
      </c>
      <c r="I126" s="3">
        <v>-108.5</v>
      </c>
      <c r="J126" s="3">
        <v>1.66</v>
      </c>
      <c r="K126" s="3">
        <v>-1</v>
      </c>
      <c r="L126" s="3">
        <v>9.18</v>
      </c>
      <c r="M126" s="3">
        <v>-1.47</v>
      </c>
      <c r="N126" s="3">
        <v>21.64</v>
      </c>
      <c r="O126" s="3">
        <v>9.76</v>
      </c>
      <c r="P126" s="3">
        <v>6.97</v>
      </c>
      <c r="Q126" s="3">
        <v>-107.1</v>
      </c>
      <c r="R126" s="3">
        <v>2.06</v>
      </c>
      <c r="S126" s="3">
        <v>-5.86</v>
      </c>
      <c r="T126" s="3">
        <v>-82.47</v>
      </c>
      <c r="U126" s="3">
        <v>-121.4</v>
      </c>
      <c r="V126" s="3">
        <v>-128.80000000000001</v>
      </c>
      <c r="W126" s="3">
        <v>3.43</v>
      </c>
      <c r="X126" s="3">
        <v>-1.37</v>
      </c>
      <c r="Y126" s="3">
        <v>-14.93</v>
      </c>
      <c r="Z126" s="3">
        <v>-15.65</v>
      </c>
      <c r="AA126" s="3">
        <v>167.8</v>
      </c>
      <c r="AB126" s="3">
        <v>42.2</v>
      </c>
      <c r="AC126" s="3">
        <v>35.700000000000003</v>
      </c>
      <c r="AD126" s="3">
        <v>4.5999999999999996</v>
      </c>
    </row>
    <row r="127" spans="1:30" x14ac:dyDescent="0.2">
      <c r="A127" s="42" t="s">
        <v>310</v>
      </c>
      <c r="B127" s="4">
        <v>6280</v>
      </c>
      <c r="C127" s="4">
        <v>5697</v>
      </c>
      <c r="D127" s="3">
        <v>-160.5</v>
      </c>
      <c r="E127" s="3">
        <v>215.5</v>
      </c>
      <c r="F127" s="4">
        <v>1550</v>
      </c>
      <c r="G127" s="3">
        <v>650</v>
      </c>
      <c r="H127" s="3">
        <v>0</v>
      </c>
      <c r="I127" s="3">
        <v>-8.9999999999999993E-3</v>
      </c>
      <c r="J127" s="3">
        <v>-2.1000000000000001E-2</v>
      </c>
      <c r="K127" s="3">
        <v>-0.17199999999999999</v>
      </c>
      <c r="L127" s="3">
        <v>-1.45</v>
      </c>
      <c r="M127" s="3">
        <v>-2.33</v>
      </c>
      <c r="N127" s="3">
        <v>-2.2799999999999998</v>
      </c>
      <c r="O127" s="3">
        <v>-0.49099999999999999</v>
      </c>
      <c r="P127" s="3">
        <v>0</v>
      </c>
      <c r="Q127" s="3">
        <v>0</v>
      </c>
      <c r="R127" s="3">
        <v>0</v>
      </c>
      <c r="S127" s="3">
        <v>0</v>
      </c>
      <c r="T127" s="3">
        <v>0</v>
      </c>
      <c r="U127" s="3">
        <v>0</v>
      </c>
      <c r="V127" s="3">
        <v>0</v>
      </c>
      <c r="W127" s="3">
        <v>0</v>
      </c>
      <c r="X127" s="3">
        <v>-5</v>
      </c>
      <c r="Y127" s="3">
        <v>-2.6</v>
      </c>
      <c r="Z127" s="3">
        <v>0.86599999999999999</v>
      </c>
      <c r="AA127" s="3">
        <v>0</v>
      </c>
      <c r="AB127" s="3">
        <v>-5</v>
      </c>
      <c r="AC127" s="3">
        <v>-12.84</v>
      </c>
      <c r="AD127" s="3">
        <v>4.49</v>
      </c>
    </row>
    <row r="128" spans="1:30" x14ac:dyDescent="0.2">
      <c r="A128" s="42" t="s">
        <v>311</v>
      </c>
      <c r="B128" s="4">
        <v>20651</v>
      </c>
      <c r="C128" s="4">
        <v>16363</v>
      </c>
      <c r="D128" s="4">
        <v>2029</v>
      </c>
      <c r="E128" s="3">
        <v>46.59</v>
      </c>
      <c r="F128" s="4">
        <v>1000</v>
      </c>
      <c r="G128" s="3">
        <v>0</v>
      </c>
      <c r="H128" s="3">
        <v>0</v>
      </c>
      <c r="I128" s="3">
        <v>0</v>
      </c>
      <c r="J128" s="3">
        <v>1.68</v>
      </c>
      <c r="K128" s="3">
        <v>1.66</v>
      </c>
      <c r="L128" s="3">
        <v>9.5299999999999994</v>
      </c>
      <c r="M128" s="3">
        <v>0</v>
      </c>
      <c r="N128" s="3">
        <v>0</v>
      </c>
      <c r="O128" s="3">
        <v>0</v>
      </c>
      <c r="P128" s="3">
        <v>0</v>
      </c>
      <c r="Q128" s="3">
        <v>0</v>
      </c>
      <c r="R128" s="3">
        <v>0</v>
      </c>
      <c r="S128" s="3">
        <v>0</v>
      </c>
      <c r="T128" s="3">
        <v>3.29</v>
      </c>
      <c r="U128" s="3">
        <v>6.09</v>
      </c>
      <c r="V128" s="3">
        <v>5.7</v>
      </c>
      <c r="W128" s="3">
        <v>5.76</v>
      </c>
      <c r="X128" s="3">
        <v>3.72</v>
      </c>
      <c r="Y128" s="3">
        <v>0.995</v>
      </c>
      <c r="Z128" s="3">
        <v>4.22</v>
      </c>
      <c r="AA128" s="3">
        <v>128</v>
      </c>
      <c r="AB128" s="3">
        <v>47.2</v>
      </c>
      <c r="AC128" s="3">
        <v>48.5</v>
      </c>
      <c r="AD128" s="3">
        <v>0.1</v>
      </c>
    </row>
    <row r="129" spans="1:30" x14ac:dyDescent="0.2">
      <c r="A129" s="42" t="s">
        <v>312</v>
      </c>
      <c r="B129" s="3">
        <v>2.17</v>
      </c>
      <c r="C129" s="3">
        <v>0</v>
      </c>
      <c r="D129" s="3">
        <v>0</v>
      </c>
      <c r="E129" s="3">
        <v>0</v>
      </c>
      <c r="F129" s="3">
        <v>0</v>
      </c>
      <c r="G129" s="3">
        <v>-123.2</v>
      </c>
      <c r="H129" s="3">
        <v>-72.72</v>
      </c>
      <c r="I129" s="3">
        <v>-111</v>
      </c>
      <c r="J129" s="3">
        <v>0</v>
      </c>
      <c r="K129" s="3">
        <v>-3.74</v>
      </c>
      <c r="L129" s="3">
        <v>0</v>
      </c>
      <c r="M129" s="3">
        <v>0</v>
      </c>
      <c r="N129" s="3">
        <v>0</v>
      </c>
      <c r="O129" s="3">
        <v>0</v>
      </c>
      <c r="P129" s="3">
        <v>-109</v>
      </c>
      <c r="Q129" s="3">
        <v>-109</v>
      </c>
      <c r="R129" s="3">
        <v>0</v>
      </c>
      <c r="S129" s="3">
        <v>-8.39</v>
      </c>
      <c r="T129" s="3">
        <v>-89.03</v>
      </c>
      <c r="U129" s="3">
        <v>-132</v>
      </c>
      <c r="V129" s="3">
        <v>-134.5</v>
      </c>
      <c r="W129" s="3">
        <v>-2.33</v>
      </c>
      <c r="X129" s="3">
        <v>0</v>
      </c>
      <c r="Y129" s="3">
        <v>0</v>
      </c>
      <c r="Z129" s="3">
        <v>-19.78</v>
      </c>
      <c r="AA129" s="3">
        <v>0</v>
      </c>
      <c r="AB129" s="3">
        <v>0</v>
      </c>
      <c r="AC129" s="3">
        <v>0</v>
      </c>
      <c r="AD129" s="3">
        <v>0</v>
      </c>
    </row>
    <row r="130" spans="1:30" x14ac:dyDescent="0.2">
      <c r="A130" s="42" t="s">
        <v>313</v>
      </c>
      <c r="B130" s="3">
        <v>-9.19</v>
      </c>
      <c r="C130" s="3">
        <v>0</v>
      </c>
      <c r="D130" s="3">
        <v>0</v>
      </c>
      <c r="E130" s="3">
        <v>0</v>
      </c>
      <c r="F130" s="3">
        <v>0</v>
      </c>
      <c r="G130" s="3">
        <v>0</v>
      </c>
      <c r="H130" s="3">
        <v>0</v>
      </c>
      <c r="I130" s="3">
        <v>0</v>
      </c>
      <c r="J130" s="3">
        <v>0</v>
      </c>
      <c r="K130" s="3">
        <v>0</v>
      </c>
      <c r="L130" s="3">
        <v>0</v>
      </c>
      <c r="M130" s="3">
        <v>0</v>
      </c>
      <c r="N130" s="3">
        <v>0</v>
      </c>
      <c r="O130" s="3">
        <v>0</v>
      </c>
      <c r="P130" s="3">
        <v>0</v>
      </c>
      <c r="Q130" s="3">
        <v>0</v>
      </c>
      <c r="R130" s="3">
        <v>-0.06</v>
      </c>
      <c r="S130" s="3">
        <v>0</v>
      </c>
      <c r="T130" s="3">
        <v>0</v>
      </c>
      <c r="U130" s="3">
        <v>0</v>
      </c>
      <c r="V130" s="3">
        <v>0</v>
      </c>
      <c r="W130" s="3">
        <v>0</v>
      </c>
      <c r="X130" s="3">
        <v>0</v>
      </c>
      <c r="Y130" s="3">
        <v>0</v>
      </c>
      <c r="Z130" s="3">
        <v>-0.192</v>
      </c>
      <c r="AA130" s="3">
        <v>0</v>
      </c>
      <c r="AB130" s="3">
        <v>0</v>
      </c>
      <c r="AC130" s="3">
        <v>0</v>
      </c>
      <c r="AD130" s="3">
        <v>0</v>
      </c>
    </row>
    <row r="131" spans="1:30" x14ac:dyDescent="0.2">
      <c r="A131" s="42" t="s">
        <v>164</v>
      </c>
      <c r="B131" s="4">
        <v>1257</v>
      </c>
      <c r="C131" s="3">
        <v>72.22</v>
      </c>
      <c r="D131" s="3">
        <v>21.22</v>
      </c>
      <c r="E131" s="3">
        <v>3.05</v>
      </c>
      <c r="F131" s="3">
        <v>-8.31</v>
      </c>
      <c r="G131" s="3">
        <v>36.46</v>
      </c>
      <c r="H131" s="3">
        <v>6.57</v>
      </c>
      <c r="I131" s="3">
        <v>2.4700000000000002</v>
      </c>
      <c r="J131" s="3">
        <v>1.68</v>
      </c>
      <c r="K131" s="3">
        <v>-0.83199999999999996</v>
      </c>
      <c r="L131" s="3">
        <v>10.62</v>
      </c>
      <c r="M131" s="3">
        <v>0.85599999999999998</v>
      </c>
      <c r="N131" s="3">
        <v>23.92</v>
      </c>
      <c r="O131" s="3">
        <v>10.25</v>
      </c>
      <c r="P131" s="3">
        <v>2.46</v>
      </c>
      <c r="Q131" s="3">
        <v>1.9</v>
      </c>
      <c r="R131" s="3">
        <v>2.06</v>
      </c>
      <c r="S131" s="3">
        <v>2.5299999999999998</v>
      </c>
      <c r="T131" s="3">
        <v>3.27</v>
      </c>
      <c r="U131" s="3">
        <v>4.4800000000000004</v>
      </c>
      <c r="V131" s="3">
        <v>-1E-3</v>
      </c>
      <c r="W131" s="3">
        <v>0</v>
      </c>
      <c r="X131" s="3">
        <v>-8.6999999999999994E-2</v>
      </c>
      <c r="Y131" s="3">
        <v>-10</v>
      </c>
      <c r="Z131" s="3">
        <v>-0.76500000000000001</v>
      </c>
      <c r="AA131" s="3">
        <v>39.82</v>
      </c>
      <c r="AB131" s="3">
        <v>0</v>
      </c>
      <c r="AC131" s="3">
        <v>3.5999999999999997E-2</v>
      </c>
      <c r="AD131" s="3">
        <v>-1.2999999999999999E-2</v>
      </c>
    </row>
    <row r="132" spans="1:30" x14ac:dyDescent="0.2">
      <c r="A132" s="42" t="s">
        <v>314</v>
      </c>
      <c r="B132" s="3">
        <v>-0.22500000000000001</v>
      </c>
      <c r="C132" s="3">
        <v>-2.15</v>
      </c>
      <c r="D132" s="3">
        <v>0.44400000000000001</v>
      </c>
      <c r="E132" s="3">
        <v>-3.38</v>
      </c>
      <c r="F132" s="3">
        <v>-2.61</v>
      </c>
      <c r="G132" s="3">
        <v>4.78</v>
      </c>
      <c r="H132" s="3">
        <v>-1.37</v>
      </c>
      <c r="I132" s="3">
        <v>-3.44</v>
      </c>
      <c r="J132" s="3">
        <v>8.2200000000000006</v>
      </c>
      <c r="K132" s="3">
        <v>-4.16</v>
      </c>
      <c r="L132" s="3">
        <v>-5.77</v>
      </c>
      <c r="M132" s="3">
        <v>-4.2699999999999996</v>
      </c>
      <c r="N132" s="3">
        <v>-0.86299999999999999</v>
      </c>
      <c r="O132" s="3">
        <v>0.94899999999999995</v>
      </c>
      <c r="P132" s="3">
        <v>-1.56</v>
      </c>
      <c r="Q132" s="3">
        <v>-1.97</v>
      </c>
      <c r="R132" s="3">
        <v>0.71</v>
      </c>
      <c r="S132" s="3">
        <v>-2.5299999999999998</v>
      </c>
      <c r="T132" s="3">
        <v>3.48</v>
      </c>
      <c r="U132" s="3">
        <v>3.3</v>
      </c>
      <c r="V132" s="3">
        <v>-4.09</v>
      </c>
      <c r="W132" s="3">
        <v>1.84</v>
      </c>
      <c r="X132" s="3">
        <v>0.95699999999999996</v>
      </c>
      <c r="Y132" s="3">
        <v>0.626</v>
      </c>
      <c r="Z132" s="3">
        <v>-0.63400000000000001</v>
      </c>
      <c r="AA132" s="3">
        <v>-0.52</v>
      </c>
      <c r="AB132" s="3">
        <v>-0.61199999999999999</v>
      </c>
      <c r="AC132" s="3">
        <v>0.1</v>
      </c>
      <c r="AD132" s="3">
        <v>0.2</v>
      </c>
    </row>
    <row r="133" spans="1:30" x14ac:dyDescent="0.2">
      <c r="A133" s="42" t="s">
        <v>315</v>
      </c>
      <c r="B133" s="3">
        <v>-6.54</v>
      </c>
      <c r="C133" s="3">
        <v>-8.7799999999999994</v>
      </c>
      <c r="D133" s="3">
        <v>-2.19</v>
      </c>
      <c r="E133" s="3">
        <v>-13.57</v>
      </c>
      <c r="F133" s="3">
        <v>3.67</v>
      </c>
      <c r="G133" s="3">
        <v>-397.1</v>
      </c>
      <c r="H133" s="3">
        <v>347</v>
      </c>
      <c r="I133" s="3">
        <v>-310.39999999999998</v>
      </c>
      <c r="J133" s="3">
        <v>18.47</v>
      </c>
      <c r="K133" s="3">
        <v>109.6</v>
      </c>
      <c r="L133" s="3">
        <v>145.4</v>
      </c>
      <c r="M133" s="3">
        <v>-73.25</v>
      </c>
      <c r="N133" s="3">
        <v>-4.22</v>
      </c>
      <c r="O133" s="3">
        <v>24.76</v>
      </c>
      <c r="P133" s="3">
        <v>25.54</v>
      </c>
      <c r="Q133" s="3">
        <v>-50.67</v>
      </c>
      <c r="R133" s="3">
        <v>101.9</v>
      </c>
      <c r="S133" s="3">
        <v>37.72</v>
      </c>
      <c r="T133" s="3">
        <v>6.21</v>
      </c>
      <c r="U133" s="3">
        <v>36.659999999999997</v>
      </c>
      <c r="V133" s="3">
        <v>-26</v>
      </c>
      <c r="W133" s="3">
        <v>16.43</v>
      </c>
      <c r="X133" s="3">
        <v>36.85</v>
      </c>
      <c r="Y133" s="3">
        <v>-23.37</v>
      </c>
      <c r="Z133" s="3">
        <v>5.21</v>
      </c>
      <c r="AA133" s="3">
        <v>41.74</v>
      </c>
      <c r="AB133" s="3">
        <v>-1.55</v>
      </c>
      <c r="AC133" s="3">
        <v>24</v>
      </c>
      <c r="AD133" s="3">
        <v>1.9</v>
      </c>
    </row>
    <row r="134" spans="1:30" x14ac:dyDescent="0.2">
      <c r="A134" s="42" t="s">
        <v>316</v>
      </c>
      <c r="B134" s="3">
        <v>68.8</v>
      </c>
      <c r="C134" s="3">
        <v>48.67</v>
      </c>
      <c r="D134" s="3">
        <v>50.87</v>
      </c>
      <c r="E134" s="3">
        <v>64.430000000000007</v>
      </c>
      <c r="F134" s="3">
        <v>60.76</v>
      </c>
      <c r="G134" s="3">
        <v>457.8</v>
      </c>
      <c r="H134" s="3">
        <v>110.8</v>
      </c>
      <c r="I134" s="3">
        <v>421.2</v>
      </c>
      <c r="J134" s="3">
        <v>402.7</v>
      </c>
      <c r="K134" s="3">
        <v>292.3</v>
      </c>
      <c r="L134" s="3">
        <v>146.9</v>
      </c>
      <c r="M134" s="3">
        <v>220.2</v>
      </c>
      <c r="N134" s="3">
        <v>224.4</v>
      </c>
      <c r="O134" s="3">
        <v>199.6</v>
      </c>
      <c r="P134" s="3">
        <v>174.1</v>
      </c>
      <c r="Q134" s="3">
        <v>224.8</v>
      </c>
      <c r="R134" s="3">
        <v>122.9</v>
      </c>
      <c r="S134" s="3">
        <v>85.19</v>
      </c>
      <c r="T134" s="3">
        <v>78.98</v>
      </c>
      <c r="U134" s="3">
        <v>42.32</v>
      </c>
      <c r="V134" s="3">
        <v>68.31</v>
      </c>
      <c r="W134" s="3">
        <v>51.88</v>
      </c>
      <c r="X134" s="3">
        <v>15.04</v>
      </c>
      <c r="Y134" s="3">
        <v>38.409999999999997</v>
      </c>
      <c r="Z134" s="3">
        <v>33.200000000000003</v>
      </c>
      <c r="AA134" s="3">
        <v>25.94</v>
      </c>
      <c r="AB134" s="3">
        <v>27.49</v>
      </c>
      <c r="AC134" s="3">
        <v>3.5</v>
      </c>
      <c r="AD134" s="3">
        <v>1.7</v>
      </c>
    </row>
    <row r="135" spans="1:30" x14ac:dyDescent="0.2">
      <c r="A135" s="42" t="s">
        <v>317</v>
      </c>
      <c r="B135" s="3">
        <v>62.26</v>
      </c>
      <c r="C135" s="3">
        <v>39.9</v>
      </c>
      <c r="D135" s="3">
        <v>48.67</v>
      </c>
      <c r="E135" s="3">
        <v>50.87</v>
      </c>
      <c r="F135" s="3">
        <v>64.430000000000007</v>
      </c>
      <c r="G135" s="3">
        <v>60.76</v>
      </c>
      <c r="H135" s="3">
        <v>457.8</v>
      </c>
      <c r="I135" s="3">
        <v>110.8</v>
      </c>
      <c r="J135" s="3">
        <v>421.2</v>
      </c>
      <c r="K135" s="3">
        <v>402</v>
      </c>
      <c r="L135" s="3">
        <v>292.3</v>
      </c>
      <c r="M135" s="3">
        <v>146.9</v>
      </c>
      <c r="N135" s="3">
        <v>220.2</v>
      </c>
      <c r="O135" s="3">
        <v>224.4</v>
      </c>
      <c r="P135" s="3">
        <v>199.6</v>
      </c>
      <c r="Q135" s="3">
        <v>174.1</v>
      </c>
      <c r="R135" s="3">
        <v>224.8</v>
      </c>
      <c r="S135" s="3">
        <v>122.9</v>
      </c>
      <c r="T135" s="3">
        <v>85.19</v>
      </c>
      <c r="U135" s="3">
        <v>78.98</v>
      </c>
      <c r="V135" s="3">
        <v>42.32</v>
      </c>
      <c r="W135" s="3">
        <v>68.31</v>
      </c>
      <c r="X135" s="3">
        <v>51.88</v>
      </c>
      <c r="Y135" s="3">
        <v>15.04</v>
      </c>
      <c r="Z135" s="3">
        <v>38.409999999999997</v>
      </c>
      <c r="AA135" s="3">
        <v>67.69</v>
      </c>
      <c r="AB135" s="3">
        <v>25.94</v>
      </c>
      <c r="AC135" s="3">
        <v>27.5</v>
      </c>
      <c r="AD135" s="3">
        <v>3.6</v>
      </c>
    </row>
    <row r="136" spans="1:30" x14ac:dyDescent="0.2">
      <c r="A136" s="42" t="s">
        <v>6</v>
      </c>
      <c r="B136" s="4">
        <v>-28200</v>
      </c>
      <c r="C136" s="4">
        <v>-22139</v>
      </c>
      <c r="D136" s="4">
        <v>-1893</v>
      </c>
      <c r="E136" s="3">
        <v>-287.2</v>
      </c>
      <c r="F136" s="4">
        <v>-2535</v>
      </c>
      <c r="G136" s="4">
        <v>-1075</v>
      </c>
      <c r="H136" s="3">
        <v>50.69</v>
      </c>
      <c r="I136" s="3">
        <v>3.78</v>
      </c>
      <c r="J136" s="3">
        <v>74.34</v>
      </c>
      <c r="K136" s="3">
        <v>108.3</v>
      </c>
      <c r="L136" s="3">
        <v>136.6</v>
      </c>
      <c r="M136" s="3">
        <v>-6.2</v>
      </c>
      <c r="N136" s="3">
        <v>13.45</v>
      </c>
      <c r="O136" s="3">
        <v>10.62</v>
      </c>
      <c r="P136" s="3">
        <v>9.74</v>
      </c>
      <c r="Q136" s="3">
        <v>57.35</v>
      </c>
      <c r="R136" s="3">
        <v>73.959999999999994</v>
      </c>
      <c r="S136" s="3">
        <v>45.18</v>
      </c>
      <c r="T136" s="3">
        <v>91.77</v>
      </c>
      <c r="U136" s="3">
        <v>99.61</v>
      </c>
      <c r="V136" s="3">
        <v>100.6</v>
      </c>
      <c r="W136" s="3">
        <v>79.91</v>
      </c>
      <c r="X136" s="3">
        <v>32.880000000000003</v>
      </c>
      <c r="Y136" s="3">
        <v>-3.66</v>
      </c>
      <c r="Z136" s="3">
        <v>-6.75</v>
      </c>
      <c r="AA136" s="3">
        <v>-135.19999999999999</v>
      </c>
      <c r="AB136" s="3">
        <v>-23.64</v>
      </c>
      <c r="AC136" s="3">
        <v>-11.8</v>
      </c>
      <c r="AD136" s="3">
        <v>-2.9</v>
      </c>
    </row>
    <row r="137" spans="1:30" ht="17" customHeight="1" x14ac:dyDescent="0.2">
      <c r="A137" s="42" t="s">
        <v>156</v>
      </c>
      <c r="B137" s="3">
        <v>-84.01</v>
      </c>
      <c r="C137" s="3">
        <v>-53.03</v>
      </c>
      <c r="D137" s="3">
        <v>12.71</v>
      </c>
      <c r="E137" s="3">
        <v>3.21</v>
      </c>
      <c r="F137" s="3">
        <v>93.83</v>
      </c>
      <c r="G137" s="3">
        <v>53.62</v>
      </c>
      <c r="H137" s="3">
        <v>60.87</v>
      </c>
      <c r="I137" s="3">
        <v>10.63</v>
      </c>
      <c r="J137" s="3">
        <v>78.319999999999993</v>
      </c>
      <c r="K137" s="3">
        <v>110.6</v>
      </c>
      <c r="L137" s="3">
        <v>149.69999999999999</v>
      </c>
      <c r="M137" s="3">
        <v>14.6</v>
      </c>
      <c r="N137" s="3">
        <v>29.93</v>
      </c>
      <c r="O137" s="3">
        <v>49.88</v>
      </c>
      <c r="P137" s="3">
        <v>56.31</v>
      </c>
      <c r="Q137" s="3">
        <v>75.83</v>
      </c>
      <c r="R137" s="3">
        <v>96.44</v>
      </c>
      <c r="S137" s="3">
        <v>88.92</v>
      </c>
      <c r="T137" s="3">
        <v>97.9</v>
      </c>
      <c r="U137" s="3">
        <v>104.4</v>
      </c>
      <c r="V137" s="3">
        <v>102.6</v>
      </c>
      <c r="W137" s="3">
        <v>85.56</v>
      </c>
      <c r="X137" s="3">
        <v>37.06</v>
      </c>
      <c r="Y137" s="3">
        <v>0.66800000000000004</v>
      </c>
      <c r="Z137" s="3">
        <v>-4.87</v>
      </c>
      <c r="AA137" s="3">
        <v>-87.81</v>
      </c>
      <c r="AB137" s="3">
        <v>8.8999999999999996E-2</v>
      </c>
      <c r="AC137" s="3">
        <v>-2.5</v>
      </c>
      <c r="AD137" s="3">
        <v>5</v>
      </c>
    </row>
    <row r="138" spans="1:30" ht="17" customHeight="1" x14ac:dyDescent="0.2">
      <c r="A138" s="42" t="s">
        <v>318</v>
      </c>
      <c r="B138" s="4">
        <v>-28116</v>
      </c>
      <c r="C138" s="4">
        <v>-22086</v>
      </c>
      <c r="D138" s="4">
        <v>-1905</v>
      </c>
      <c r="E138" s="3">
        <v>-290.39999999999998</v>
      </c>
      <c r="F138" s="4">
        <v>-2629</v>
      </c>
      <c r="G138" s="4">
        <v>-1129</v>
      </c>
      <c r="H138" s="3">
        <v>-10.18</v>
      </c>
      <c r="I138" s="3">
        <v>-6.85</v>
      </c>
      <c r="J138" s="3">
        <v>-3.98</v>
      </c>
      <c r="K138" s="3">
        <v>-2.34</v>
      </c>
      <c r="L138" s="3">
        <v>-13.08</v>
      </c>
      <c r="M138" s="3">
        <v>-20.8</v>
      </c>
      <c r="N138" s="3">
        <v>-16.48</v>
      </c>
      <c r="O138" s="3">
        <v>-39.26</v>
      </c>
      <c r="P138" s="3">
        <v>-46.57</v>
      </c>
      <c r="Q138" s="3">
        <v>-18.47</v>
      </c>
      <c r="R138" s="3">
        <v>-22.48</v>
      </c>
      <c r="S138" s="3">
        <v>-43.74</v>
      </c>
      <c r="T138" s="3">
        <v>-6.13</v>
      </c>
      <c r="U138" s="3">
        <v>-4.8099999999999996</v>
      </c>
      <c r="V138" s="3">
        <v>-1.91</v>
      </c>
      <c r="W138" s="3">
        <v>-5.65</v>
      </c>
      <c r="X138" s="3">
        <v>-4.18</v>
      </c>
      <c r="Y138" s="3">
        <v>-4.33</v>
      </c>
      <c r="Z138" s="3">
        <v>-1.88</v>
      </c>
      <c r="AA138" s="3">
        <v>-47.42</v>
      </c>
      <c r="AB138" s="3">
        <v>-23.73</v>
      </c>
      <c r="AC138" s="3">
        <v>-9.3000000000000007</v>
      </c>
      <c r="AD138" s="3">
        <v>-7.9</v>
      </c>
    </row>
    <row r="152" spans="1:31" ht="16" customHeight="1" x14ac:dyDescent="0.2"/>
    <row r="153" spans="1:31" ht="16" customHeight="1" x14ac:dyDescent="0.2"/>
    <row r="155" spans="1:31" x14ac:dyDescent="0.2">
      <c r="A155" s="79" t="s">
        <v>253</v>
      </c>
      <c r="B155" s="1" t="s">
        <v>254</v>
      </c>
      <c r="C155" s="1">
        <v>2024</v>
      </c>
      <c r="D155" s="1">
        <v>2023</v>
      </c>
      <c r="E155" s="1">
        <v>2022</v>
      </c>
      <c r="F155" s="1">
        <v>2021</v>
      </c>
      <c r="G155" s="1">
        <v>2020</v>
      </c>
      <c r="H155" s="1">
        <v>2019</v>
      </c>
      <c r="I155" s="1">
        <v>2018</v>
      </c>
      <c r="J155" s="1">
        <v>2017</v>
      </c>
      <c r="K155" s="1">
        <v>2016</v>
      </c>
      <c r="L155" s="1">
        <v>2015</v>
      </c>
      <c r="M155" s="1">
        <v>2014</v>
      </c>
      <c r="N155" s="1">
        <v>2013</v>
      </c>
      <c r="O155" s="1">
        <v>2012</v>
      </c>
      <c r="P155" s="1">
        <v>2011</v>
      </c>
      <c r="Q155" s="1">
        <v>2010</v>
      </c>
      <c r="R155" s="1">
        <v>2009</v>
      </c>
      <c r="S155" s="1">
        <v>2008</v>
      </c>
      <c r="T155" s="1">
        <v>2007</v>
      </c>
      <c r="U155" s="1">
        <v>2006</v>
      </c>
      <c r="V155" s="1">
        <v>2005</v>
      </c>
      <c r="W155" s="1">
        <v>2004</v>
      </c>
      <c r="X155" s="1">
        <v>2003</v>
      </c>
      <c r="Y155" s="1">
        <v>2002</v>
      </c>
      <c r="Z155" s="1">
        <v>2001</v>
      </c>
      <c r="AA155" s="1">
        <v>2000</v>
      </c>
      <c r="AB155" s="1">
        <v>1999</v>
      </c>
      <c r="AC155" s="1">
        <v>1998</v>
      </c>
      <c r="AD155" s="1">
        <v>1997</v>
      </c>
    </row>
    <row r="156" spans="1:31" x14ac:dyDescent="0.2">
      <c r="A156" s="79"/>
      <c r="B156" s="40" t="s">
        <v>255</v>
      </c>
      <c r="C156" s="41">
        <v>46022</v>
      </c>
      <c r="D156" s="41">
        <v>46022</v>
      </c>
      <c r="E156" s="41">
        <v>46022</v>
      </c>
      <c r="F156" s="41">
        <v>46022</v>
      </c>
      <c r="G156" s="41">
        <v>46022</v>
      </c>
      <c r="H156" s="41">
        <v>46022</v>
      </c>
      <c r="I156" s="41">
        <v>46022</v>
      </c>
      <c r="J156" s="41">
        <v>46022</v>
      </c>
      <c r="K156" s="41">
        <v>46022</v>
      </c>
      <c r="L156" s="41">
        <v>46022</v>
      </c>
      <c r="M156" s="41">
        <v>46022</v>
      </c>
      <c r="N156" s="41">
        <v>46022</v>
      </c>
      <c r="O156" s="41">
        <v>46022</v>
      </c>
      <c r="P156" s="41">
        <v>46022</v>
      </c>
      <c r="Q156" s="41">
        <v>46022</v>
      </c>
      <c r="R156" s="41">
        <v>46022</v>
      </c>
      <c r="S156" s="41">
        <v>46022</v>
      </c>
      <c r="T156" s="41">
        <v>46022</v>
      </c>
      <c r="U156" s="41">
        <v>46022</v>
      </c>
      <c r="V156" s="41">
        <v>46022</v>
      </c>
      <c r="W156" s="41">
        <v>46022</v>
      </c>
      <c r="X156" s="41">
        <v>46022</v>
      </c>
      <c r="Y156" s="41">
        <v>46022</v>
      </c>
      <c r="Z156" s="41">
        <v>46022</v>
      </c>
      <c r="AA156" s="41">
        <v>46022</v>
      </c>
      <c r="AB156" s="41">
        <v>46022</v>
      </c>
      <c r="AC156" s="41">
        <v>46022</v>
      </c>
      <c r="AD156" s="41">
        <v>46022</v>
      </c>
    </row>
    <row r="157" spans="1:31" x14ac:dyDescent="0.2">
      <c r="A157" s="42" t="s">
        <v>319</v>
      </c>
      <c r="B157" s="78"/>
      <c r="C157" s="78"/>
      <c r="D157" s="78"/>
      <c r="E157" s="78"/>
      <c r="F157" s="78"/>
      <c r="G157" s="78"/>
      <c r="H157" s="78"/>
      <c r="I157" s="78"/>
      <c r="J157" s="78"/>
      <c r="K157" s="78"/>
      <c r="L157" s="78"/>
      <c r="M157" s="78"/>
      <c r="N157" s="78"/>
      <c r="O157" s="78"/>
      <c r="P157" s="78"/>
      <c r="Q157" s="78"/>
      <c r="R157" s="78"/>
      <c r="S157" s="78"/>
      <c r="T157" s="78"/>
      <c r="U157" s="78"/>
      <c r="V157" s="78"/>
      <c r="W157" s="78"/>
      <c r="X157" s="78"/>
      <c r="Y157" s="78"/>
      <c r="Z157" s="78"/>
      <c r="AA157" s="78"/>
      <c r="AB157" s="78"/>
      <c r="AC157" s="78"/>
      <c r="AD157" s="78"/>
      <c r="AE157" s="78"/>
    </row>
    <row r="158" spans="1:31" x14ac:dyDescent="0.2">
      <c r="A158" s="42" t="s">
        <v>320</v>
      </c>
      <c r="B158" s="3">
        <v>-18.97</v>
      </c>
      <c r="C158" s="3">
        <v>-47.8</v>
      </c>
      <c r="D158" s="3">
        <v>20.12</v>
      </c>
      <c r="E158" s="3">
        <v>-1.0900000000000001</v>
      </c>
      <c r="F158" s="3">
        <v>-10.19</v>
      </c>
      <c r="G158" s="3">
        <v>-500</v>
      </c>
      <c r="H158" s="3">
        <v>42.57</v>
      </c>
      <c r="I158" s="3">
        <v>64.61</v>
      </c>
      <c r="J158" s="3">
        <v>82.58</v>
      </c>
      <c r="K158" s="3">
        <v>24.45</v>
      </c>
      <c r="L158" s="3">
        <v>19.22</v>
      </c>
      <c r="M158" s="3">
        <v>364.5</v>
      </c>
      <c r="N158" s="3">
        <v>16.84</v>
      </c>
      <c r="O158" s="3">
        <v>49.98</v>
      </c>
      <c r="P158" s="3">
        <v>64.709999999999994</v>
      </c>
      <c r="Q158" s="3">
        <v>22.21</v>
      </c>
      <c r="R158" s="3">
        <v>14.95</v>
      </c>
      <c r="S158" s="3">
        <v>10.54</v>
      </c>
      <c r="T158" s="3">
        <v>20.05</v>
      </c>
      <c r="U158" s="3">
        <v>20.89</v>
      </c>
      <c r="V158" s="3">
        <v>18.86</v>
      </c>
      <c r="W158" s="3">
        <v>5.75</v>
      </c>
      <c r="X158" s="3">
        <v>-199.1</v>
      </c>
      <c r="Y158" s="3">
        <v>4.63</v>
      </c>
      <c r="Z158" s="3">
        <v>-4.12</v>
      </c>
      <c r="AA158" s="3">
        <v>-4.49</v>
      </c>
      <c r="AB158" s="3">
        <v>-239.7</v>
      </c>
      <c r="AC158" s="3">
        <v>-468.2</v>
      </c>
      <c r="AD158" s="3">
        <v>-703.9</v>
      </c>
    </row>
    <row r="159" spans="1:31" x14ac:dyDescent="0.2">
      <c r="A159" s="42" t="s">
        <v>321</v>
      </c>
      <c r="B159" s="3">
        <v>244.1</v>
      </c>
      <c r="C159" s="3">
        <v>120.3</v>
      </c>
      <c r="D159" s="3">
        <v>17.399999999999999</v>
      </c>
      <c r="E159" s="3">
        <v>3.21</v>
      </c>
      <c r="F159" s="3">
        <v>10.68</v>
      </c>
      <c r="G159" s="3">
        <v>7.83</v>
      </c>
      <c r="H159" s="3">
        <v>3.01</v>
      </c>
      <c r="I159" s="3">
        <v>2.92</v>
      </c>
      <c r="J159" s="3">
        <v>2.98</v>
      </c>
      <c r="K159" s="3">
        <v>4.3899999999999997</v>
      </c>
      <c r="L159" s="3">
        <v>3.84</v>
      </c>
      <c r="M159" s="3">
        <v>3.17</v>
      </c>
      <c r="N159" s="3">
        <v>2.44</v>
      </c>
      <c r="O159" s="3">
        <v>1.82</v>
      </c>
      <c r="P159" s="3">
        <v>2.16</v>
      </c>
      <c r="Q159" s="3">
        <v>2.14</v>
      </c>
      <c r="R159" s="3">
        <v>2.96</v>
      </c>
      <c r="S159" s="3">
        <v>1.22</v>
      </c>
      <c r="T159" s="3">
        <v>3.34</v>
      </c>
      <c r="U159" s="3">
        <v>4.72</v>
      </c>
      <c r="V159" s="3">
        <v>4.55</v>
      </c>
      <c r="W159" s="3">
        <v>4.1900000000000004</v>
      </c>
      <c r="X159" s="3">
        <v>4.43</v>
      </c>
      <c r="Y159" s="3">
        <v>1.19</v>
      </c>
      <c r="Z159" s="3">
        <v>1.85</v>
      </c>
      <c r="AA159" s="3">
        <v>3.52</v>
      </c>
      <c r="AB159" s="3">
        <v>53.47</v>
      </c>
      <c r="AC159" s="3">
        <v>11.06</v>
      </c>
      <c r="AD159" s="3">
        <v>11.85</v>
      </c>
    </row>
    <row r="160" spans="1:31" x14ac:dyDescent="0.2">
      <c r="A160" s="42" t="s">
        <v>322</v>
      </c>
      <c r="B160" s="3">
        <v>3.02</v>
      </c>
      <c r="C160" s="3">
        <v>3.06</v>
      </c>
      <c r="D160" s="3">
        <v>3.99</v>
      </c>
      <c r="E160" s="3">
        <v>-4.18</v>
      </c>
      <c r="F160" s="3">
        <v>5.57</v>
      </c>
      <c r="G160" s="3">
        <v>6.8</v>
      </c>
      <c r="H160" s="3">
        <v>2.88</v>
      </c>
      <c r="I160" s="3">
        <v>2.74</v>
      </c>
      <c r="J160" s="3">
        <v>2.54</v>
      </c>
      <c r="K160" s="3">
        <v>4.08</v>
      </c>
      <c r="L160" s="3">
        <v>4.47</v>
      </c>
      <c r="M160" s="3">
        <v>5.66</v>
      </c>
      <c r="N160" s="3">
        <v>4.5199999999999996</v>
      </c>
      <c r="O160" s="3">
        <v>5.13</v>
      </c>
      <c r="P160" s="3">
        <v>6.87</v>
      </c>
      <c r="Q160" s="3">
        <v>6.52</v>
      </c>
      <c r="R160" s="3">
        <v>5.22</v>
      </c>
      <c r="S160" s="3">
        <v>3.19</v>
      </c>
      <c r="T160" s="3">
        <v>11.34</v>
      </c>
      <c r="U160" s="3">
        <v>11.12</v>
      </c>
      <c r="V160" s="3">
        <v>6.76</v>
      </c>
      <c r="W160" s="3">
        <v>4.0199999999999996</v>
      </c>
      <c r="X160" s="3">
        <v>17.53</v>
      </c>
      <c r="Y160" s="3">
        <v>-5.1100000000000003</v>
      </c>
      <c r="Z160" s="3">
        <v>-4.8099999999999996</v>
      </c>
      <c r="AA160" s="3">
        <v>51.99</v>
      </c>
      <c r="AB160" s="3">
        <v>79.44</v>
      </c>
      <c r="AC160" s="3">
        <v>22.8</v>
      </c>
      <c r="AD160" s="4">
        <v>-1557</v>
      </c>
    </row>
    <row r="161" spans="1:31" x14ac:dyDescent="0.2">
      <c r="A161" s="42" t="s">
        <v>323</v>
      </c>
      <c r="B161" s="3">
        <v>-5.46</v>
      </c>
      <c r="C161" s="3">
        <v>-838.5</v>
      </c>
      <c r="D161" s="3">
        <v>-4.5599999999999996</v>
      </c>
      <c r="E161" s="3">
        <v>-5.58</v>
      </c>
      <c r="F161" s="3">
        <v>-2.15</v>
      </c>
      <c r="G161" s="3">
        <v>-3.5</v>
      </c>
      <c r="H161" s="3">
        <v>28.85</v>
      </c>
      <c r="I161" s="3">
        <v>384.5</v>
      </c>
      <c r="J161" s="3">
        <v>20.21</v>
      </c>
      <c r="K161" s="3">
        <v>20.83</v>
      </c>
      <c r="L161" s="3">
        <v>14.9</v>
      </c>
      <c r="M161" s="3">
        <v>-296.2</v>
      </c>
      <c r="N161" s="3">
        <v>104.3</v>
      </c>
      <c r="O161" s="3">
        <v>96.7</v>
      </c>
      <c r="P161" s="3">
        <v>119.2</v>
      </c>
      <c r="Q161" s="3">
        <v>16.96</v>
      </c>
      <c r="R161" s="3">
        <v>15.13</v>
      </c>
      <c r="S161" s="3">
        <v>9.76</v>
      </c>
      <c r="T161" s="3">
        <v>12.77</v>
      </c>
      <c r="U161" s="3">
        <v>14.86</v>
      </c>
      <c r="V161" s="3">
        <v>12.13</v>
      </c>
      <c r="W161" s="3">
        <v>12.12</v>
      </c>
      <c r="X161" s="3">
        <v>23.64</v>
      </c>
      <c r="Y161" s="3">
        <v>-48.2</v>
      </c>
      <c r="Z161" s="3">
        <v>-49.39</v>
      </c>
      <c r="AA161" s="3">
        <v>-5.6</v>
      </c>
      <c r="AB161" s="3">
        <v>-342.1</v>
      </c>
      <c r="AC161" s="3">
        <v>-89.47</v>
      </c>
      <c r="AD161" s="3">
        <v>-214.8</v>
      </c>
    </row>
    <row r="162" spans="1:31" x14ac:dyDescent="0.2">
      <c r="A162" s="42" t="s">
        <v>324</v>
      </c>
      <c r="B162" s="4">
        <v>-1206</v>
      </c>
      <c r="C162" s="4">
        <v>-1052</v>
      </c>
      <c r="D162" s="3">
        <v>679.2</v>
      </c>
      <c r="E162" s="3">
        <v>499.2</v>
      </c>
      <c r="F162" s="3">
        <v>58.14</v>
      </c>
      <c r="G162" s="3">
        <v>70.17</v>
      </c>
      <c r="H162" s="3">
        <v>24.03</v>
      </c>
      <c r="I162" s="3">
        <v>136.80000000000001</v>
      </c>
      <c r="J162" s="3">
        <v>19.18</v>
      </c>
      <c r="K162" s="3">
        <v>20.39</v>
      </c>
      <c r="L162" s="3">
        <v>13.6</v>
      </c>
      <c r="M162" s="3">
        <v>125.7</v>
      </c>
      <c r="N162" s="3">
        <v>46.89</v>
      </c>
      <c r="O162" s="3">
        <v>20.59</v>
      </c>
      <c r="P162" s="3">
        <v>20.62</v>
      </c>
      <c r="Q162" s="3">
        <v>12.83</v>
      </c>
      <c r="R162" s="3">
        <v>11.6</v>
      </c>
      <c r="S162" s="3">
        <v>4.96</v>
      </c>
      <c r="T162" s="3">
        <v>11.97</v>
      </c>
      <c r="U162" s="3">
        <v>14.18</v>
      </c>
      <c r="V162" s="3">
        <v>11.91</v>
      </c>
      <c r="W162" s="3">
        <v>11.32</v>
      </c>
      <c r="X162" s="3">
        <v>20.97</v>
      </c>
      <c r="Y162" s="3">
        <v>263.89999999999998</v>
      </c>
      <c r="Z162" s="3">
        <v>-68.510000000000005</v>
      </c>
      <c r="AA162" s="3">
        <v>-8.6300000000000008</v>
      </c>
      <c r="AB162" s="4">
        <v>90876</v>
      </c>
      <c r="AC162" s="3">
        <v>-422.3</v>
      </c>
      <c r="AD162" s="3">
        <v>124.6</v>
      </c>
    </row>
    <row r="163" spans="1:31" x14ac:dyDescent="0.2">
      <c r="A163" s="42" t="s">
        <v>325</v>
      </c>
      <c r="B163" s="3">
        <v>6.6000000000000003E-2</v>
      </c>
      <c r="C163" s="3">
        <v>0.16500000000000001</v>
      </c>
      <c r="D163" s="3">
        <v>-0.161</v>
      </c>
      <c r="E163" s="3">
        <v>-8.0000000000000002E-3</v>
      </c>
      <c r="F163" s="3">
        <v>-2E-3</v>
      </c>
      <c r="G163" s="3">
        <v>4.07</v>
      </c>
      <c r="H163" s="3">
        <v>0.60799999999999998</v>
      </c>
      <c r="I163" s="3">
        <v>2.58</v>
      </c>
      <c r="J163" s="3">
        <v>-1.03</v>
      </c>
      <c r="K163" s="3">
        <v>-1.89</v>
      </c>
      <c r="L163" s="3">
        <v>0.01</v>
      </c>
      <c r="M163" s="3">
        <v>-3.88</v>
      </c>
      <c r="N163" s="3">
        <v>5.8000000000000003E-2</v>
      </c>
      <c r="O163" s="3">
        <v>4.25</v>
      </c>
      <c r="P163" s="3">
        <v>-1.1499999999999999</v>
      </c>
      <c r="Q163" s="3">
        <v>-0.58299999999999996</v>
      </c>
      <c r="R163" s="3">
        <v>0.187</v>
      </c>
      <c r="S163" s="3">
        <v>-0.41299999999999998</v>
      </c>
      <c r="T163" s="3">
        <v>-1.38</v>
      </c>
      <c r="U163" s="3">
        <v>0.83599999999999997</v>
      </c>
      <c r="V163" s="3">
        <v>-0.32500000000000001</v>
      </c>
      <c r="W163" s="3">
        <v>-1E-3</v>
      </c>
      <c r="X163" s="3">
        <v>1.84</v>
      </c>
      <c r="Y163" s="3">
        <v>-3.4000000000000002E-2</v>
      </c>
      <c r="Z163" s="3">
        <v>5.8000000000000003E-2</v>
      </c>
      <c r="AA163" s="3">
        <v>-3.0000000000000001E-3</v>
      </c>
      <c r="AB163" s="3">
        <v>-0.17499999999999999</v>
      </c>
      <c r="AC163" s="3">
        <v>5.51</v>
      </c>
      <c r="AD163" s="3">
        <v>0</v>
      </c>
    </row>
    <row r="164" spans="1:31" x14ac:dyDescent="0.2">
      <c r="A164" s="42" t="s">
        <v>326</v>
      </c>
      <c r="B164" s="3">
        <v>-5.87</v>
      </c>
      <c r="C164" s="3">
        <v>-34.32</v>
      </c>
      <c r="D164" s="3">
        <v>-107.9</v>
      </c>
      <c r="E164" s="3">
        <v>-3.17</v>
      </c>
      <c r="F164" s="3">
        <v>-9.86</v>
      </c>
      <c r="G164" s="4">
        <v>-14584</v>
      </c>
      <c r="H164" s="3">
        <v>131.80000000000001</v>
      </c>
      <c r="I164" s="3">
        <v>8.9600000000000009</v>
      </c>
      <c r="J164" s="3">
        <v>-7.95</v>
      </c>
      <c r="K164" s="4">
        <v>1165</v>
      </c>
      <c r="L164" s="4">
        <v>1023</v>
      </c>
    </row>
    <row r="165" spans="1:31" x14ac:dyDescent="0.2">
      <c r="A165" s="42" t="s">
        <v>327</v>
      </c>
      <c r="B165" s="78"/>
      <c r="C165" s="78"/>
      <c r="D165" s="78"/>
      <c r="E165" s="78"/>
      <c r="F165" s="78"/>
      <c r="G165" s="78"/>
      <c r="H165" s="78"/>
      <c r="I165" s="78"/>
      <c r="J165" s="78"/>
      <c r="K165" s="78"/>
      <c r="L165" s="78"/>
      <c r="M165" s="78"/>
      <c r="N165" s="78"/>
      <c r="O165" s="78"/>
      <c r="P165" s="78"/>
      <c r="Q165" s="78"/>
      <c r="R165" s="78"/>
      <c r="S165" s="78"/>
      <c r="T165" s="78"/>
      <c r="U165" s="78"/>
      <c r="V165" s="78"/>
      <c r="W165" s="78"/>
      <c r="X165" s="78"/>
      <c r="Y165" s="78"/>
      <c r="Z165" s="78"/>
      <c r="AA165" s="78"/>
      <c r="AB165" s="78"/>
      <c r="AC165" s="78"/>
      <c r="AD165" s="78"/>
      <c r="AE165" s="78"/>
    </row>
    <row r="166" spans="1:31" x14ac:dyDescent="0.2">
      <c r="A166" s="42" t="s">
        <v>67</v>
      </c>
      <c r="B166" s="3">
        <v>0.66</v>
      </c>
      <c r="C166" s="3">
        <v>0.71</v>
      </c>
      <c r="D166" s="3">
        <v>0.82899999999999996</v>
      </c>
      <c r="E166" s="3">
        <v>0.83399999999999996</v>
      </c>
      <c r="F166" s="3">
        <v>0.85899999999999999</v>
      </c>
      <c r="G166" s="3">
        <v>0.95399999999999996</v>
      </c>
      <c r="H166" s="3">
        <v>2.79</v>
      </c>
      <c r="I166" s="3">
        <v>3.01</v>
      </c>
      <c r="J166" s="3">
        <v>4.13</v>
      </c>
      <c r="K166" s="3">
        <v>3.69</v>
      </c>
      <c r="L166" s="3">
        <v>3.27</v>
      </c>
      <c r="M166" s="3">
        <v>2.34</v>
      </c>
      <c r="N166" s="3">
        <v>2.06</v>
      </c>
      <c r="O166" s="3">
        <v>1.65</v>
      </c>
      <c r="P166" s="3">
        <v>1.57</v>
      </c>
      <c r="Q166" s="3">
        <v>1.59</v>
      </c>
      <c r="R166" s="3">
        <v>2</v>
      </c>
      <c r="S166" s="3">
        <v>1.5</v>
      </c>
      <c r="T166" s="3">
        <v>1.44</v>
      </c>
      <c r="U166" s="3">
        <v>1.55</v>
      </c>
      <c r="V166" s="3">
        <v>1.87</v>
      </c>
      <c r="W166" s="3">
        <v>1.95</v>
      </c>
      <c r="X166" s="3">
        <v>1.45</v>
      </c>
      <c r="Y166" s="3">
        <v>0.88800000000000001</v>
      </c>
      <c r="Z166" s="3">
        <v>0.746</v>
      </c>
      <c r="AA166" s="3">
        <v>1.38</v>
      </c>
      <c r="AB166" s="3">
        <v>1.78</v>
      </c>
      <c r="AC166" s="3">
        <v>1.81</v>
      </c>
      <c r="AD166" s="3">
        <v>0.78400000000000003</v>
      </c>
    </row>
    <row r="167" spans="1:31" x14ac:dyDescent="0.2">
      <c r="A167" s="42" t="s">
        <v>68</v>
      </c>
      <c r="B167" s="3">
        <v>0.66</v>
      </c>
      <c r="C167" s="3">
        <v>0.71</v>
      </c>
      <c r="D167" s="3">
        <v>0.82899999999999996</v>
      </c>
      <c r="E167" s="3">
        <v>0.83399999999999996</v>
      </c>
      <c r="F167" s="3">
        <v>0.85899999999999999</v>
      </c>
      <c r="G167" s="3">
        <v>0.95399999999999996</v>
      </c>
      <c r="H167" s="3">
        <v>2.79</v>
      </c>
      <c r="I167" s="3">
        <v>3.01</v>
      </c>
      <c r="J167" s="3">
        <v>4.13</v>
      </c>
      <c r="K167" s="3">
        <v>3.69</v>
      </c>
      <c r="L167" s="3">
        <v>3.27</v>
      </c>
      <c r="M167" s="3">
        <v>2.34</v>
      </c>
      <c r="N167" s="3">
        <v>2.06</v>
      </c>
      <c r="O167" s="3">
        <v>1.65</v>
      </c>
      <c r="P167" s="3">
        <v>1.57</v>
      </c>
      <c r="Q167" s="3">
        <v>1.37</v>
      </c>
      <c r="R167" s="3">
        <v>2</v>
      </c>
      <c r="S167" s="3">
        <v>1.24</v>
      </c>
      <c r="T167" s="3">
        <v>1.44</v>
      </c>
      <c r="U167" s="3">
        <v>1.55</v>
      </c>
      <c r="V167" s="3">
        <v>1.87</v>
      </c>
      <c r="W167" s="3">
        <v>1.95</v>
      </c>
      <c r="X167" s="3">
        <v>1.45</v>
      </c>
      <c r="Y167" s="3">
        <v>0.88800000000000001</v>
      </c>
      <c r="Z167" s="3">
        <v>0.746</v>
      </c>
      <c r="AA167" s="3">
        <v>1.38</v>
      </c>
      <c r="AB167" s="3">
        <v>1.78</v>
      </c>
      <c r="AC167" s="3">
        <v>1.81</v>
      </c>
      <c r="AD167" s="3">
        <v>0.78400000000000003</v>
      </c>
    </row>
    <row r="168" spans="1:31" x14ac:dyDescent="0.2">
      <c r="A168" s="42" t="s">
        <v>328</v>
      </c>
      <c r="B168" s="3">
        <v>0.19500000000000001</v>
      </c>
      <c r="C168" s="3">
        <v>0.107</v>
      </c>
      <c r="D168" s="3">
        <v>0.14499999999999999</v>
      </c>
      <c r="E168" s="3">
        <v>0.13800000000000001</v>
      </c>
      <c r="F168" s="3">
        <v>0.20300000000000001</v>
      </c>
      <c r="G168" s="3">
        <v>0.20899999999999999</v>
      </c>
      <c r="H168" s="3">
        <v>1.69</v>
      </c>
      <c r="I168" s="3">
        <v>0.42599999999999999</v>
      </c>
      <c r="J168" s="3">
        <v>2.27</v>
      </c>
      <c r="K168" s="3">
        <v>2.17</v>
      </c>
      <c r="L168" s="3">
        <v>1.69</v>
      </c>
      <c r="M168" s="3">
        <v>0.745</v>
      </c>
      <c r="N168" s="3">
        <v>0.94299999999999995</v>
      </c>
      <c r="O168" s="3">
        <v>1.02</v>
      </c>
      <c r="P168" s="3">
        <v>0.91400000000000003</v>
      </c>
      <c r="Q168" s="3">
        <v>0.93300000000000005</v>
      </c>
      <c r="R168" s="3">
        <v>1.47</v>
      </c>
      <c r="S168" s="3">
        <v>0.85899999999999999</v>
      </c>
      <c r="T168" s="3">
        <v>0.67100000000000004</v>
      </c>
      <c r="U168" s="3">
        <v>0.7</v>
      </c>
      <c r="V168" s="3">
        <v>0.45700000000000002</v>
      </c>
      <c r="W168" s="3">
        <v>0.76200000000000001</v>
      </c>
      <c r="X168" s="3">
        <v>0.84099999999999997</v>
      </c>
      <c r="Y168" s="3">
        <v>0.24299999999999999</v>
      </c>
      <c r="Z168" s="3">
        <v>0.42199999999999999</v>
      </c>
      <c r="AA168" s="3">
        <v>0.60299999999999998</v>
      </c>
      <c r="AB168" s="3">
        <v>0.38</v>
      </c>
      <c r="AC168" s="3">
        <v>0.78600000000000003</v>
      </c>
      <c r="AD168" s="3">
        <v>0.13100000000000001</v>
      </c>
    </row>
    <row r="169" spans="1:31" x14ac:dyDescent="0.2">
      <c r="A169" s="42" t="s">
        <v>329</v>
      </c>
      <c r="B169" s="3">
        <v>2E-3</v>
      </c>
      <c r="C169" s="3">
        <v>0.28000000000000003</v>
      </c>
      <c r="D169" s="3">
        <v>0.47299999999999998</v>
      </c>
      <c r="E169" s="3">
        <v>1.01</v>
      </c>
      <c r="F169" s="3">
        <v>0.627</v>
      </c>
      <c r="G169" s="3">
        <v>0.38900000000000001</v>
      </c>
      <c r="H169" s="3">
        <v>0.113</v>
      </c>
      <c r="I169" s="3">
        <v>0</v>
      </c>
      <c r="J169" s="3">
        <v>0</v>
      </c>
      <c r="K169" s="3">
        <v>0</v>
      </c>
      <c r="L169" s="3">
        <v>0</v>
      </c>
      <c r="M169" s="3">
        <v>0</v>
      </c>
      <c r="N169" s="3">
        <v>0</v>
      </c>
      <c r="O169" s="3" t="s">
        <v>537</v>
      </c>
      <c r="P169" s="3">
        <v>0</v>
      </c>
      <c r="Q169" s="3">
        <v>0</v>
      </c>
      <c r="R169" s="3">
        <v>0</v>
      </c>
      <c r="S169" s="3">
        <v>0</v>
      </c>
      <c r="T169" s="3">
        <v>0</v>
      </c>
      <c r="U169" s="3">
        <v>0</v>
      </c>
      <c r="V169" s="3">
        <v>0</v>
      </c>
      <c r="W169" s="3">
        <v>0</v>
      </c>
      <c r="X169" s="3">
        <v>0</v>
      </c>
      <c r="Y169" s="3">
        <v>0.623</v>
      </c>
      <c r="Z169" s="3">
        <v>1.2E-2</v>
      </c>
      <c r="AA169" s="3">
        <v>0</v>
      </c>
      <c r="AB169" s="3">
        <v>0</v>
      </c>
      <c r="AC169" s="3">
        <v>0.06</v>
      </c>
      <c r="AD169" s="3">
        <v>0.12</v>
      </c>
    </row>
    <row r="170" spans="1:31" x14ac:dyDescent="0.2">
      <c r="A170" s="42" t="s">
        <v>330</v>
      </c>
      <c r="B170" s="3">
        <v>3.0000000000000001E-3</v>
      </c>
      <c r="C170" s="3">
        <v>0.39800000000000002</v>
      </c>
      <c r="D170" s="3">
        <v>1.04</v>
      </c>
      <c r="E170" s="3">
        <v>-6.39</v>
      </c>
      <c r="F170" s="3">
        <v>2.2799999999999998</v>
      </c>
      <c r="G170" s="3">
        <v>1.03</v>
      </c>
      <c r="H170" s="3">
        <v>0.20300000000000001</v>
      </c>
      <c r="I170" s="3">
        <v>0</v>
      </c>
      <c r="J170" s="3">
        <v>0</v>
      </c>
      <c r="K170" s="3">
        <v>0</v>
      </c>
      <c r="L170" s="3">
        <v>0</v>
      </c>
      <c r="M170" s="3">
        <v>0</v>
      </c>
      <c r="N170" s="3">
        <v>0</v>
      </c>
      <c r="O170" s="3" t="s">
        <v>537</v>
      </c>
      <c r="P170" s="3">
        <v>0</v>
      </c>
      <c r="Q170" s="3">
        <v>0</v>
      </c>
      <c r="R170" s="3">
        <v>0</v>
      </c>
      <c r="S170" s="3">
        <v>0</v>
      </c>
      <c r="T170" s="3">
        <v>0</v>
      </c>
      <c r="U170" s="3">
        <v>0</v>
      </c>
      <c r="V170" s="3">
        <v>0</v>
      </c>
      <c r="W170" s="3">
        <v>0</v>
      </c>
      <c r="X170" s="3">
        <v>0</v>
      </c>
      <c r="Y170" s="3">
        <v>-1.44</v>
      </c>
      <c r="Z170" s="3">
        <v>-1.7000000000000001E-2</v>
      </c>
      <c r="AA170" s="3">
        <v>0</v>
      </c>
      <c r="AB170" s="3">
        <v>0</v>
      </c>
      <c r="AC170" s="3">
        <v>0.108</v>
      </c>
      <c r="AD170" s="3">
        <v>-9</v>
      </c>
    </row>
    <row r="171" spans="1:31" x14ac:dyDescent="0.2">
      <c r="A171" s="42" t="s">
        <v>331</v>
      </c>
      <c r="B171" s="3">
        <v>2E-3</v>
      </c>
      <c r="C171" s="3">
        <v>0.28299999999999997</v>
      </c>
      <c r="D171" s="3">
        <v>0.502</v>
      </c>
      <c r="E171" s="3">
        <v>1.19</v>
      </c>
      <c r="F171" s="3">
        <v>0.68799999999999994</v>
      </c>
      <c r="G171" s="3">
        <v>0.46800000000000003</v>
      </c>
      <c r="H171" s="3">
        <v>0</v>
      </c>
      <c r="I171" s="3">
        <v>0</v>
      </c>
      <c r="J171" s="3">
        <v>0</v>
      </c>
      <c r="K171" s="3">
        <v>0</v>
      </c>
      <c r="L171" s="3">
        <v>0</v>
      </c>
      <c r="M171" s="3">
        <v>0</v>
      </c>
      <c r="N171" s="3">
        <v>0</v>
      </c>
      <c r="O171" s="3">
        <v>0</v>
      </c>
      <c r="P171" s="3">
        <v>0</v>
      </c>
      <c r="Q171" s="3">
        <v>0</v>
      </c>
      <c r="R171" s="3">
        <v>0</v>
      </c>
      <c r="S171" s="3">
        <v>0</v>
      </c>
      <c r="T171" s="3">
        <v>0</v>
      </c>
      <c r="U171" s="3">
        <v>0</v>
      </c>
      <c r="V171" s="3">
        <v>0</v>
      </c>
      <c r="W171" s="3">
        <v>0</v>
      </c>
      <c r="X171" s="3">
        <v>0</v>
      </c>
      <c r="Y171" s="3">
        <v>4.28</v>
      </c>
      <c r="Z171" s="3">
        <v>0</v>
      </c>
      <c r="AA171" s="3">
        <v>0</v>
      </c>
      <c r="AB171" s="3">
        <v>0</v>
      </c>
      <c r="AC171" s="3">
        <v>0</v>
      </c>
      <c r="AD171" s="3">
        <v>1.17</v>
      </c>
    </row>
    <row r="172" spans="1:31" x14ac:dyDescent="0.2">
      <c r="A172" s="42" t="s">
        <v>332</v>
      </c>
      <c r="B172" s="3">
        <v>3.0000000000000001E-3</v>
      </c>
      <c r="C172" s="3">
        <v>0.28399999999999997</v>
      </c>
      <c r="D172" s="3">
        <v>0.51</v>
      </c>
      <c r="E172" s="3">
        <v>1.19</v>
      </c>
      <c r="F172" s="3">
        <v>0.69499999999999995</v>
      </c>
      <c r="G172" s="3">
        <v>0.50800000000000001</v>
      </c>
      <c r="H172" s="3">
        <v>0.16900000000000001</v>
      </c>
      <c r="I172" s="3">
        <v>0</v>
      </c>
      <c r="J172" s="3">
        <v>0</v>
      </c>
      <c r="K172" s="3">
        <v>0</v>
      </c>
      <c r="L172" s="3">
        <v>0</v>
      </c>
      <c r="M172" s="3">
        <v>0</v>
      </c>
      <c r="N172" s="3">
        <v>0</v>
      </c>
      <c r="O172" s="3">
        <v>0</v>
      </c>
      <c r="P172" s="3">
        <v>0</v>
      </c>
      <c r="Q172" s="3">
        <v>0</v>
      </c>
      <c r="R172" s="3">
        <v>0</v>
      </c>
      <c r="S172" s="3">
        <v>0</v>
      </c>
      <c r="T172" s="3">
        <v>0</v>
      </c>
      <c r="U172" s="3">
        <v>0</v>
      </c>
      <c r="V172" s="3">
        <v>0</v>
      </c>
      <c r="W172" s="3">
        <v>0</v>
      </c>
      <c r="X172" s="3">
        <v>0</v>
      </c>
      <c r="Y172" s="3">
        <v>3.27</v>
      </c>
      <c r="Z172" s="3">
        <v>-1.7999999999999999E-2</v>
      </c>
      <c r="AA172" s="3">
        <v>0</v>
      </c>
      <c r="AB172" s="3">
        <v>0</v>
      </c>
      <c r="AC172" s="3">
        <v>9.7000000000000003E-2</v>
      </c>
      <c r="AD172" s="3">
        <v>1.1200000000000001</v>
      </c>
    </row>
    <row r="173" spans="1:31" x14ac:dyDescent="0.2">
      <c r="A173" s="42" t="s">
        <v>333</v>
      </c>
      <c r="B173" s="3">
        <v>-229.7</v>
      </c>
      <c r="C173" s="3">
        <v>-29.92</v>
      </c>
      <c r="D173" s="3">
        <v>-2.35</v>
      </c>
      <c r="E173" s="3">
        <v>-24.01</v>
      </c>
      <c r="F173" s="3">
        <v>-26.91</v>
      </c>
      <c r="G173" s="3">
        <v>-7.51</v>
      </c>
      <c r="H173" s="3">
        <v>0</v>
      </c>
      <c r="I173" s="3">
        <v>0</v>
      </c>
      <c r="J173" s="3">
        <v>0</v>
      </c>
      <c r="K173" s="3">
        <v>0</v>
      </c>
      <c r="L173" s="3">
        <v>0</v>
      </c>
      <c r="M173" s="3">
        <v>0</v>
      </c>
      <c r="N173" s="3">
        <v>0</v>
      </c>
      <c r="O173" s="3">
        <v>0</v>
      </c>
      <c r="P173" s="3">
        <v>0</v>
      </c>
      <c r="Q173" s="3">
        <v>0</v>
      </c>
      <c r="R173" s="3">
        <v>0</v>
      </c>
      <c r="S173" s="3">
        <v>0</v>
      </c>
      <c r="T173" s="3">
        <v>0</v>
      </c>
      <c r="U173" s="3">
        <v>0</v>
      </c>
      <c r="V173" s="3">
        <v>0</v>
      </c>
      <c r="W173" s="3">
        <v>0</v>
      </c>
      <c r="X173" s="3">
        <v>0</v>
      </c>
      <c r="Y173" s="3">
        <v>0</v>
      </c>
      <c r="Z173" s="3">
        <v>0</v>
      </c>
      <c r="AA173" s="3">
        <v>0</v>
      </c>
      <c r="AB173" s="3">
        <v>0</v>
      </c>
      <c r="AC173" s="3">
        <v>0</v>
      </c>
      <c r="AD173" s="3">
        <v>0</v>
      </c>
    </row>
    <row r="174" spans="1:31" x14ac:dyDescent="0.2">
      <c r="A174" s="42" t="s">
        <v>334</v>
      </c>
      <c r="B174" s="3">
        <v>-0.77800000000000002</v>
      </c>
      <c r="C174" s="3">
        <v>-7.0000000000000001E-3</v>
      </c>
      <c r="D174" s="3">
        <v>6.0000000000000001E-3</v>
      </c>
      <c r="E174" s="3">
        <v>1E-3</v>
      </c>
      <c r="F174" s="3">
        <v>4.2000000000000003E-2</v>
      </c>
      <c r="G174" s="3">
        <v>9.4E-2</v>
      </c>
      <c r="H174" s="3">
        <v>0.58899999999999997</v>
      </c>
      <c r="I174" s="3">
        <v>0</v>
      </c>
      <c r="J174" s="3">
        <v>0</v>
      </c>
      <c r="K174" s="3">
        <v>0</v>
      </c>
      <c r="L174" s="3">
        <v>0</v>
      </c>
      <c r="M174" s="3">
        <v>0</v>
      </c>
      <c r="N174" s="3">
        <v>0</v>
      </c>
      <c r="O174" s="3">
        <v>0</v>
      </c>
      <c r="P174" s="3">
        <v>0</v>
      </c>
      <c r="Q174" s="3">
        <v>0</v>
      </c>
      <c r="R174" s="3">
        <v>0</v>
      </c>
      <c r="S174" s="3">
        <v>0</v>
      </c>
      <c r="T174" s="3">
        <v>0</v>
      </c>
      <c r="U174" s="3">
        <v>0</v>
      </c>
      <c r="V174" s="3">
        <v>0</v>
      </c>
      <c r="W174" s="3">
        <v>0</v>
      </c>
      <c r="X174" s="3">
        <v>0</v>
      </c>
      <c r="Y174" s="3">
        <v>1.2999999999999999E-2</v>
      </c>
      <c r="Z174" s="3">
        <v>-4.01</v>
      </c>
      <c r="AA174" s="3">
        <v>0</v>
      </c>
      <c r="AB174" s="3">
        <v>0</v>
      </c>
      <c r="AC174" s="3">
        <v>-0.5</v>
      </c>
      <c r="AD174" s="3">
        <v>1.39</v>
      </c>
    </row>
    <row r="175" spans="1:31" x14ac:dyDescent="0.2">
      <c r="A175" s="42" t="s">
        <v>335</v>
      </c>
      <c r="B175" s="78"/>
      <c r="C175" s="78"/>
      <c r="D175" s="78"/>
      <c r="E175" s="78"/>
      <c r="F175" s="78"/>
      <c r="G175" s="78"/>
      <c r="H175" s="78"/>
      <c r="I175" s="78"/>
      <c r="J175" s="78"/>
      <c r="K175" s="78"/>
      <c r="L175" s="78"/>
      <c r="M175" s="78"/>
      <c r="N175" s="78"/>
      <c r="O175" s="78"/>
      <c r="P175" s="78"/>
      <c r="Q175" s="78"/>
      <c r="R175" s="78"/>
      <c r="S175" s="78"/>
      <c r="T175" s="78"/>
      <c r="U175" s="78"/>
      <c r="V175" s="78"/>
      <c r="W175" s="78"/>
      <c r="X175" s="78"/>
      <c r="Y175" s="78"/>
      <c r="Z175" s="78"/>
      <c r="AA175" s="78"/>
      <c r="AB175" s="78"/>
      <c r="AC175" s="78"/>
      <c r="AD175" s="78"/>
      <c r="AE175" s="78"/>
    </row>
    <row r="176" spans="1:31" x14ac:dyDescent="0.2">
      <c r="A176" s="42" t="s">
        <v>336</v>
      </c>
      <c r="B176" s="5">
        <v>0.70950000000000002</v>
      </c>
      <c r="C176" s="5">
        <v>0.72060000000000002</v>
      </c>
      <c r="D176" s="5">
        <v>0.77849999999999997</v>
      </c>
      <c r="E176" s="5">
        <v>0.79369999999999996</v>
      </c>
      <c r="F176" s="5">
        <v>0.82010000000000005</v>
      </c>
      <c r="G176" s="5">
        <v>0.81059999999999999</v>
      </c>
      <c r="H176" s="5">
        <v>0.7944</v>
      </c>
      <c r="I176" s="5">
        <v>0.80010000000000003</v>
      </c>
      <c r="J176" s="5">
        <v>0.80820000000000003</v>
      </c>
      <c r="K176" s="5">
        <v>0.81859999999999999</v>
      </c>
      <c r="L176" s="5">
        <v>0.80920000000000003</v>
      </c>
      <c r="M176" s="5">
        <v>0.76680000000000004</v>
      </c>
      <c r="N176" s="5">
        <v>0.75939999999999996</v>
      </c>
      <c r="O176" s="5">
        <v>0.75060000000000004</v>
      </c>
      <c r="P176" s="5">
        <v>0.75670000000000004</v>
      </c>
      <c r="Q176" s="5">
        <v>0.76659999999999995</v>
      </c>
      <c r="R176" s="5">
        <v>0.82369999999999999</v>
      </c>
      <c r="S176" s="5">
        <v>0.82410000000000005</v>
      </c>
      <c r="T176" s="5">
        <v>0.82750000000000001</v>
      </c>
      <c r="U176" s="5">
        <v>0.85860000000000003</v>
      </c>
      <c r="V176" s="5">
        <v>0.86429999999999996</v>
      </c>
      <c r="W176" s="5">
        <v>0.85780000000000001</v>
      </c>
      <c r="X176" s="5">
        <v>0.84060000000000001</v>
      </c>
      <c r="Y176" s="5">
        <v>0.81130000000000002</v>
      </c>
      <c r="Z176" s="5">
        <v>0.747</v>
      </c>
      <c r="AA176" s="5">
        <v>0.63970000000000005</v>
      </c>
      <c r="AB176" s="5">
        <v>0.75519999999999998</v>
      </c>
      <c r="AC176" s="5">
        <v>0.82879999999999998</v>
      </c>
      <c r="AD176" s="5">
        <v>0.81210000000000004</v>
      </c>
    </row>
    <row r="177" spans="1:31" x14ac:dyDescent="0.2">
      <c r="A177" s="42" t="s">
        <v>337</v>
      </c>
      <c r="B177" s="74">
        <v>-16.48</v>
      </c>
      <c r="C177" s="5">
        <v>-3.9980000000000002</v>
      </c>
      <c r="D177" s="5">
        <v>-0.23180000000000001</v>
      </c>
      <c r="E177" s="5">
        <v>-2.5550000000000002</v>
      </c>
      <c r="F177" s="5">
        <v>-1.536</v>
      </c>
      <c r="G177" s="5">
        <v>-2.8299999999999999E-2</v>
      </c>
      <c r="H177" s="5">
        <v>-2.0600000000000002E-3</v>
      </c>
      <c r="I177" s="5">
        <v>8.0000000000000002E-3</v>
      </c>
      <c r="J177" s="5">
        <v>0.14530000000000001</v>
      </c>
      <c r="K177" s="5">
        <v>0.2132</v>
      </c>
      <c r="L177" s="5">
        <v>0.25290000000000001</v>
      </c>
      <c r="M177" s="5">
        <v>8.8000000000000005E-3</v>
      </c>
      <c r="N177" s="5">
        <v>3.3799999999999997E-2</v>
      </c>
      <c r="O177" s="5">
        <v>5.8500000000000003E-2</v>
      </c>
      <c r="P177" s="5">
        <v>3.8800000000000001E-2</v>
      </c>
      <c r="Q177" s="5">
        <v>0.1113</v>
      </c>
      <c r="R177" s="5">
        <v>0.22839999999999999</v>
      </c>
      <c r="S177" s="5">
        <v>0.18809999999999999</v>
      </c>
      <c r="T177" s="5">
        <v>0.25159999999999999</v>
      </c>
      <c r="U177" s="5">
        <v>0.318</v>
      </c>
      <c r="V177" s="5">
        <v>0.34939999999999999</v>
      </c>
      <c r="W177" s="5">
        <v>0.29609999999999997</v>
      </c>
      <c r="X177" s="5">
        <v>0.1593</v>
      </c>
      <c r="Y177" s="5">
        <v>7.0499999999999993E-2</v>
      </c>
      <c r="Z177" s="5">
        <v>-0.36980000000000002</v>
      </c>
      <c r="AA177" s="5">
        <v>-0.5474</v>
      </c>
      <c r="AB177" s="5">
        <v>-0.16719999999999999</v>
      </c>
      <c r="AC177" s="5">
        <v>-2.6700000000000002E-2</v>
      </c>
      <c r="AD177" s="5">
        <v>-1.21E-2</v>
      </c>
    </row>
    <row r="178" spans="1:31" x14ac:dyDescent="0.2">
      <c r="A178" s="42" t="s">
        <v>338</v>
      </c>
      <c r="B178" s="74">
        <v>-16.68</v>
      </c>
      <c r="C178" s="5">
        <v>-4.1740000000000004</v>
      </c>
      <c r="D178" s="5">
        <v>-0.25090000000000001</v>
      </c>
      <c r="E178" s="5">
        <v>-2.649</v>
      </c>
      <c r="F178" s="5">
        <v>-1.589</v>
      </c>
      <c r="G178" s="5">
        <v>-4.1500000000000002E-2</v>
      </c>
      <c r="H178" s="5">
        <v>7.8700000000000006E-2</v>
      </c>
      <c r="I178" s="5">
        <v>4.1200000000000001E-2</v>
      </c>
      <c r="J178" s="5">
        <v>0.1419</v>
      </c>
      <c r="K178" s="5">
        <v>0.2238</v>
      </c>
      <c r="L178" s="5">
        <v>0.26019999999999999</v>
      </c>
      <c r="M178" s="5">
        <v>1.9099999999999999E-2</v>
      </c>
      <c r="N178" s="5">
        <v>2.9100000000000001E-2</v>
      </c>
      <c r="O178" s="5">
        <v>5.6899999999999999E-2</v>
      </c>
      <c r="P178" s="5">
        <v>4.6899999999999997E-2</v>
      </c>
      <c r="Q178" s="5">
        <v>0.12089999999999999</v>
      </c>
      <c r="R178" s="5">
        <v>0.2271</v>
      </c>
      <c r="S178" s="5">
        <v>0.19639999999999999</v>
      </c>
      <c r="T178" s="74">
        <v>0.26</v>
      </c>
      <c r="U178" s="5">
        <v>0.32300000000000001</v>
      </c>
      <c r="V178" s="5">
        <v>0.3654</v>
      </c>
      <c r="W178" s="5">
        <v>0.29980000000000001</v>
      </c>
      <c r="X178" s="5">
        <v>-4.1300000000000003E-2</v>
      </c>
      <c r="Y178" s="5">
        <v>0.26590000000000003</v>
      </c>
      <c r="Z178" s="5">
        <v>-0.25269999999999998</v>
      </c>
      <c r="AA178" s="5">
        <v>-0.99280000000000002</v>
      </c>
      <c r="AB178" s="5">
        <v>-0.15379999999999999</v>
      </c>
      <c r="AC178" s="5">
        <v>0.1079</v>
      </c>
      <c r="AD178" s="74">
        <v>0</v>
      </c>
    </row>
    <row r="179" spans="1:31" x14ac:dyDescent="0.2">
      <c r="A179" s="42" t="s">
        <v>339</v>
      </c>
      <c r="B179" s="74">
        <v>-11.63</v>
      </c>
      <c r="C179" s="5">
        <v>-2.5169999999999999</v>
      </c>
      <c r="D179" s="5">
        <v>0.86470000000000002</v>
      </c>
      <c r="E179" s="5">
        <v>-2.944</v>
      </c>
      <c r="F179" s="5">
        <v>-1.048</v>
      </c>
      <c r="G179" s="5">
        <v>-1.5699999999999999E-2</v>
      </c>
      <c r="H179" s="5">
        <v>7.0599999999999996E-2</v>
      </c>
      <c r="I179" s="5">
        <v>4.5199999999999997E-2</v>
      </c>
      <c r="J179" s="5">
        <v>3.61E-2</v>
      </c>
      <c r="K179" s="5">
        <v>0.17960000000000001</v>
      </c>
      <c r="L179" s="5">
        <v>0.19989999999999999</v>
      </c>
      <c r="M179" s="5">
        <v>8.6800000000000002E-3</v>
      </c>
      <c r="N179" s="5">
        <v>0.1447</v>
      </c>
      <c r="O179" s="5">
        <v>3.6299999999999999E-2</v>
      </c>
      <c r="P179" s="5">
        <v>3.3399999999999999E-2</v>
      </c>
      <c r="Q179" s="5">
        <v>9.6299999999999997E-2</v>
      </c>
      <c r="R179" s="5">
        <v>0.1981</v>
      </c>
      <c r="S179" s="5">
        <v>0.11609999999999999</v>
      </c>
      <c r="T179" s="5">
        <v>0.16669999999999999</v>
      </c>
      <c r="U179" s="5">
        <v>0.2258</v>
      </c>
      <c r="V179" s="5">
        <v>0.24099999999999999</v>
      </c>
      <c r="W179" s="5">
        <v>0.72799999999999998</v>
      </c>
      <c r="X179" s="5">
        <v>-2.2200000000000001E-2</v>
      </c>
      <c r="Y179" s="5">
        <v>0.25779999999999997</v>
      </c>
      <c r="Z179" s="5">
        <v>-0.44819999999999999</v>
      </c>
      <c r="AA179" s="5">
        <v>-0.78480000000000005</v>
      </c>
      <c r="AB179" s="5">
        <v>-0.22309999999999999</v>
      </c>
      <c r="AC179" s="5">
        <v>-2.3599999999999999E-2</v>
      </c>
      <c r="AD179" s="5">
        <v>-1.6799999999999999E-2</v>
      </c>
    </row>
    <row r="180" spans="1:31" x14ac:dyDescent="0.2">
      <c r="A180" s="42" t="s">
        <v>340</v>
      </c>
      <c r="B180" s="5">
        <v>-0.18290000000000001</v>
      </c>
      <c r="C180" s="5">
        <v>-0.1144</v>
      </c>
      <c r="D180" s="5">
        <v>2.5600000000000001E-2</v>
      </c>
      <c r="E180" s="5">
        <v>6.43E-3</v>
      </c>
      <c r="F180" s="5">
        <v>0.1837</v>
      </c>
      <c r="G180" s="5">
        <v>0.1115</v>
      </c>
      <c r="H180" s="5">
        <v>0.12520000000000001</v>
      </c>
      <c r="I180" s="5">
        <v>2.1399999999999999E-2</v>
      </c>
      <c r="J180" s="5">
        <v>0.15540000000000001</v>
      </c>
      <c r="K180" s="5">
        <v>0.21529999999999999</v>
      </c>
      <c r="L180" s="5">
        <v>0.28249999999999997</v>
      </c>
      <c r="M180" s="5">
        <v>2.52E-2</v>
      </c>
      <c r="N180" s="5">
        <v>5.1999999999999998E-2</v>
      </c>
      <c r="O180" s="5">
        <v>8.8200000000000001E-2</v>
      </c>
      <c r="P180" s="5">
        <v>0.1048</v>
      </c>
      <c r="Q180" s="5">
        <v>0.1668</v>
      </c>
      <c r="R180" s="5">
        <v>0.25530000000000003</v>
      </c>
      <c r="S180" s="5">
        <v>0.2467</v>
      </c>
      <c r="T180" s="5">
        <v>0.2792</v>
      </c>
      <c r="U180" s="5">
        <v>0.3327</v>
      </c>
      <c r="V180" s="5">
        <v>0.38169999999999998</v>
      </c>
      <c r="W180" s="74">
        <v>0.37</v>
      </c>
      <c r="X180" s="5">
        <v>0.21110000000000001</v>
      </c>
      <c r="Y180" s="5">
        <v>4.5199999999999997E-3</v>
      </c>
      <c r="Z180" s="5">
        <v>-2.7E-2</v>
      </c>
      <c r="AA180" s="5">
        <v>-0.40789999999999998</v>
      </c>
      <c r="AB180" s="5">
        <v>5.9000000000000003E-4</v>
      </c>
      <c r="AC180" s="5">
        <v>-2.6200000000000001E-2</v>
      </c>
      <c r="AD180" s="5">
        <v>9.5100000000000004E-2</v>
      </c>
    </row>
    <row r="181" spans="1:31" x14ac:dyDescent="0.2">
      <c r="A181" s="42" t="s">
        <v>341</v>
      </c>
      <c r="B181" s="74">
        <v>-44.7</v>
      </c>
      <c r="C181" s="5">
        <v>-0.14349999999999999</v>
      </c>
      <c r="D181" s="5">
        <v>-3.8140000000000001</v>
      </c>
      <c r="E181" s="5">
        <v>-0.57520000000000004</v>
      </c>
      <c r="F181" s="5">
        <v>-4.9640000000000004</v>
      </c>
      <c r="G181" s="5">
        <v>-2.2360000000000002</v>
      </c>
      <c r="H181" s="5">
        <v>0.1042</v>
      </c>
      <c r="I181" s="5">
        <v>7.6E-3</v>
      </c>
      <c r="J181" s="5">
        <v>0.14749999999999999</v>
      </c>
      <c r="K181" s="5">
        <v>0.21079999999999999</v>
      </c>
      <c r="L181" s="5">
        <v>0.25779999999999997</v>
      </c>
      <c r="M181" s="5">
        <v>-1.0699999999999999E-2</v>
      </c>
      <c r="N181" s="5">
        <v>2.3400000000000001E-2</v>
      </c>
      <c r="O181" s="5">
        <v>1.8800000000000001E-2</v>
      </c>
      <c r="P181" s="5">
        <v>1.8100000000000002E-2</v>
      </c>
      <c r="Q181" s="5">
        <v>0.12620000000000001</v>
      </c>
      <c r="R181" s="5">
        <v>0.1958</v>
      </c>
      <c r="S181" s="5">
        <v>0.12540000000000001</v>
      </c>
      <c r="T181" s="5">
        <v>0.26169999999999999</v>
      </c>
      <c r="U181" s="5">
        <v>0.31740000000000002</v>
      </c>
      <c r="V181" s="5">
        <v>0.37459999999999999</v>
      </c>
      <c r="W181" s="5">
        <v>0.34560000000000002</v>
      </c>
      <c r="X181" s="5">
        <v>0.18729999999999999</v>
      </c>
      <c r="Y181" s="5">
        <v>-2.47E-2</v>
      </c>
      <c r="Z181" s="5">
        <v>-3.7400000000000003E-2</v>
      </c>
      <c r="AA181" s="5">
        <v>-0.62819999999999998</v>
      </c>
      <c r="AB181" s="5">
        <v>-0.15629999999999999</v>
      </c>
      <c r="AC181" s="5">
        <v>-0.1236</v>
      </c>
      <c r="AD181" s="5">
        <v>-5.5199999999999999E-2</v>
      </c>
    </row>
    <row r="182" spans="1:31" x14ac:dyDescent="0.2">
      <c r="A182" s="42" t="s">
        <v>342</v>
      </c>
      <c r="B182" s="78"/>
      <c r="C182" s="78"/>
      <c r="D182" s="78"/>
      <c r="E182" s="78"/>
      <c r="F182" s="78"/>
      <c r="G182" s="78"/>
      <c r="H182" s="78"/>
      <c r="I182" s="78"/>
      <c r="J182" s="78"/>
      <c r="K182" s="78"/>
      <c r="L182" s="78"/>
      <c r="M182" s="78"/>
      <c r="N182" s="78"/>
      <c r="O182" s="78"/>
      <c r="P182" s="78"/>
      <c r="Q182" s="78"/>
      <c r="R182" s="78"/>
      <c r="S182" s="78"/>
      <c r="T182" s="78"/>
      <c r="U182" s="78"/>
      <c r="V182" s="78"/>
      <c r="W182" s="78"/>
      <c r="X182" s="78"/>
      <c r="Y182" s="78"/>
      <c r="Z182" s="78"/>
      <c r="AA182" s="78"/>
      <c r="AB182" s="78"/>
      <c r="AC182" s="78"/>
      <c r="AD182" s="78"/>
      <c r="AE182" s="78"/>
    </row>
    <row r="183" spans="1:31" x14ac:dyDescent="0.2">
      <c r="A183" s="42" t="s">
        <v>343</v>
      </c>
      <c r="B183" s="5">
        <v>-0.1216</v>
      </c>
      <c r="C183" s="5">
        <v>-4.5100000000000001E-2</v>
      </c>
      <c r="D183" s="5">
        <v>9.01E-2</v>
      </c>
      <c r="E183" s="5">
        <v>-0.60980000000000001</v>
      </c>
      <c r="F183" s="5">
        <v>-0.15049999999999999</v>
      </c>
      <c r="G183" s="5">
        <v>-5.13E-3</v>
      </c>
      <c r="H183" s="5">
        <v>3.7499999999999999E-2</v>
      </c>
      <c r="I183" s="5">
        <v>2.63E-2</v>
      </c>
      <c r="J183" s="5">
        <v>2.18E-2</v>
      </c>
      <c r="K183" s="5">
        <v>0.1201</v>
      </c>
      <c r="L183" s="5">
        <v>0.1613</v>
      </c>
      <c r="M183" s="5">
        <v>9.0100000000000006E-3</v>
      </c>
      <c r="N183" s="5">
        <v>0.14230000000000001</v>
      </c>
      <c r="O183" s="5">
        <v>4.2999999999999997E-2</v>
      </c>
      <c r="P183" s="5">
        <v>3.95E-2</v>
      </c>
      <c r="Q183" s="5">
        <v>0.1148</v>
      </c>
      <c r="R183" s="5">
        <v>0.19520000000000001</v>
      </c>
      <c r="S183" s="5">
        <v>0.14319999999999999</v>
      </c>
      <c r="T183" s="5">
        <v>0.2422</v>
      </c>
      <c r="U183" s="5">
        <v>0.28489999999999999</v>
      </c>
      <c r="V183" s="5">
        <v>0.2331</v>
      </c>
      <c r="W183" s="5">
        <v>0.4995</v>
      </c>
      <c r="X183" s="5">
        <v>-3.4000000000000002E-2</v>
      </c>
      <c r="Y183" s="5">
        <v>0.47720000000000001</v>
      </c>
      <c r="Z183" s="5">
        <v>-0.78029999999999999</v>
      </c>
      <c r="AA183" s="5">
        <v>-0.65200000000000002</v>
      </c>
      <c r="AB183" s="5">
        <v>-0.16589999999999999</v>
      </c>
      <c r="AC183" s="5">
        <v>-2.7300000000000001E-2</v>
      </c>
      <c r="AD183" s="5">
        <v>-2.9399999999999999E-2</v>
      </c>
    </row>
    <row r="184" spans="1:31" x14ac:dyDescent="0.2">
      <c r="A184" s="42" t="s">
        <v>344</v>
      </c>
      <c r="B184" s="5">
        <v>-0.36609999999999998</v>
      </c>
      <c r="C184" s="5">
        <v>-6.4000000000000001E-2</v>
      </c>
      <c r="D184" s="5">
        <v>0.19819999999999999</v>
      </c>
      <c r="E184" s="5">
        <v>3.8359999999999999</v>
      </c>
      <c r="F184" s="5">
        <v>-0.54700000000000004</v>
      </c>
      <c r="G184" s="5">
        <v>-1.3599999999999999E-2</v>
      </c>
      <c r="H184" s="5">
        <v>6.7599999999999993E-2</v>
      </c>
      <c r="I184" s="5">
        <v>4.2500000000000003E-2</v>
      </c>
      <c r="J184" s="5">
        <v>3.0800000000000001E-2</v>
      </c>
      <c r="K184" s="5">
        <v>0.16700000000000001</v>
      </c>
      <c r="L184" s="5">
        <v>0.23269999999999999</v>
      </c>
      <c r="M184" s="5">
        <v>1.55E-2</v>
      </c>
      <c r="N184" s="5">
        <v>0.26850000000000002</v>
      </c>
      <c r="O184" s="5">
        <v>0.1026</v>
      </c>
      <c r="P184" s="5">
        <v>0.1062</v>
      </c>
      <c r="Q184" s="5">
        <v>0.29360000000000003</v>
      </c>
      <c r="R184" s="5">
        <v>0.3493</v>
      </c>
      <c r="S184" s="5">
        <v>0.30299999999999999</v>
      </c>
      <c r="T184" s="5">
        <v>0.56579999999999997</v>
      </c>
      <c r="U184" s="5">
        <v>0.5323</v>
      </c>
      <c r="V184" s="5">
        <v>0.35820000000000002</v>
      </c>
      <c r="W184" s="5">
        <v>0.6996</v>
      </c>
      <c r="X184" s="5">
        <v>-8.7999999999999995E-2</v>
      </c>
      <c r="Y184" s="5">
        <v>-1.105</v>
      </c>
      <c r="Z184" s="5">
        <v>1.1659999999999999</v>
      </c>
      <c r="AA184" s="74">
        <v>-11.59</v>
      </c>
      <c r="AB184" s="5">
        <v>-0.33139999999999997</v>
      </c>
      <c r="AC184" s="5">
        <v>-4.87E-2</v>
      </c>
      <c r="AD184" s="5">
        <v>2.2120000000000002</v>
      </c>
    </row>
    <row r="185" spans="1:31" x14ac:dyDescent="0.2">
      <c r="A185" s="42" t="s">
        <v>345</v>
      </c>
      <c r="B185" s="5">
        <v>-0.1736</v>
      </c>
      <c r="C185" s="5">
        <v>-7.2700000000000001E-2</v>
      </c>
      <c r="D185" s="5">
        <v>-2.5899999999999999E-2</v>
      </c>
      <c r="E185" s="5">
        <v>-0.60960000000000003</v>
      </c>
      <c r="F185" s="5">
        <v>-0.24179999999999999</v>
      </c>
      <c r="G185" s="5">
        <v>-1.15E-2</v>
      </c>
      <c r="H185" s="5">
        <v>-1.5499999999999999E-3</v>
      </c>
      <c r="I185" s="5">
        <v>6.6600000000000001E-3</v>
      </c>
      <c r="J185" s="5">
        <v>0.1125</v>
      </c>
      <c r="K185" s="5">
        <v>0.18790000000000001</v>
      </c>
      <c r="L185" s="5">
        <v>0.27679999999999999</v>
      </c>
      <c r="M185" s="5">
        <v>1.41E-2</v>
      </c>
      <c r="N185" s="5">
        <v>5.5199999999999999E-2</v>
      </c>
      <c r="O185" s="5">
        <v>0.12790000000000001</v>
      </c>
      <c r="P185" s="5">
        <v>8.8599999999999998E-2</v>
      </c>
      <c r="Q185" s="5">
        <v>0.25940000000000002</v>
      </c>
      <c r="R185" s="5">
        <v>0.37409999999999999</v>
      </c>
      <c r="S185" s="5">
        <v>0.4551</v>
      </c>
      <c r="T185" s="5">
        <v>0.7712</v>
      </c>
      <c r="U185" s="5">
        <v>0.73380000000000001</v>
      </c>
      <c r="V185" s="5">
        <v>0.5071</v>
      </c>
      <c r="W185" s="5">
        <v>0.27679999999999999</v>
      </c>
      <c r="X185" s="5">
        <v>0.52690000000000003</v>
      </c>
      <c r="Y185" s="5">
        <v>0.57979999999999998</v>
      </c>
      <c r="Z185" s="74">
        <v>-5.33</v>
      </c>
      <c r="AA185" s="5">
        <v>-0.80259999999999998</v>
      </c>
      <c r="AB185" s="5">
        <v>-0.18729999999999999</v>
      </c>
      <c r="AC185" s="5">
        <v>-5.3400000000000003E-2</v>
      </c>
      <c r="AD185" s="5">
        <v>-0.19209999999999999</v>
      </c>
    </row>
    <row r="186" spans="1:31" x14ac:dyDescent="0.2">
      <c r="A186" s="42" t="s">
        <v>346</v>
      </c>
      <c r="B186" s="5">
        <v>-0.12089999999999999</v>
      </c>
      <c r="C186" s="5">
        <v>-4.3900000000000002E-2</v>
      </c>
      <c r="D186" s="5">
        <v>9.0300000000000005E-2</v>
      </c>
      <c r="E186" s="5">
        <v>-0.69199999999999995</v>
      </c>
      <c r="F186" s="5">
        <v>-0.16270000000000001</v>
      </c>
      <c r="G186" s="5">
        <v>-4.5900000000000003E-3</v>
      </c>
      <c r="H186" s="5">
        <v>-4.7299999999999998E-3</v>
      </c>
      <c r="I186" s="5">
        <v>8.9700000000000005E-3</v>
      </c>
      <c r="J186" s="5">
        <v>8.0799999999999997E-2</v>
      </c>
      <c r="K186" s="5">
        <v>0.48599999999999999</v>
      </c>
      <c r="L186" s="5">
        <v>0.53659999999999997</v>
      </c>
      <c r="M186" s="5">
        <v>1.0800000000000001E-2</v>
      </c>
      <c r="N186" s="5">
        <v>0.23369999999999999</v>
      </c>
      <c r="O186" s="5">
        <v>0.6462</v>
      </c>
      <c r="P186" s="5">
        <v>0.504</v>
      </c>
      <c r="Q186" s="5">
        <v>1.929</v>
      </c>
      <c r="R186" s="74">
        <v>10.27</v>
      </c>
      <c r="S186" s="5">
        <v>1.5349999999999999</v>
      </c>
      <c r="T186" s="5">
        <v>1.9370000000000001</v>
      </c>
      <c r="U186" s="5">
        <v>1.224</v>
      </c>
      <c r="V186" s="5">
        <v>0.43359999999999999</v>
      </c>
      <c r="W186" s="5">
        <v>0.92849999999999999</v>
      </c>
      <c r="X186" s="74">
        <v>14.97</v>
      </c>
      <c r="Y186" s="5">
        <v>3.4359999999999999</v>
      </c>
      <c r="Z186" s="5">
        <v>2.7160000000000002</v>
      </c>
      <c r="AA186" s="5">
        <v>-1.4990000000000001</v>
      </c>
      <c r="AB186" s="5">
        <v>-0.2442</v>
      </c>
      <c r="AC186" s="5">
        <v>-8.4500000000000006E-2</v>
      </c>
      <c r="AD186" s="74">
        <v>3.17</v>
      </c>
    </row>
    <row r="187" spans="1:31" x14ac:dyDescent="0.2">
      <c r="A187" s="42" t="s">
        <v>347</v>
      </c>
      <c r="B187" s="78"/>
      <c r="C187" s="78"/>
      <c r="D187" s="78"/>
      <c r="E187" s="78"/>
      <c r="F187" s="78"/>
      <c r="G187" s="78"/>
      <c r="H187" s="78"/>
      <c r="I187" s="78"/>
      <c r="J187" s="78"/>
      <c r="K187" s="78"/>
      <c r="L187" s="78"/>
      <c r="M187" s="78"/>
      <c r="N187" s="78"/>
      <c r="O187" s="78"/>
      <c r="P187" s="78"/>
      <c r="Q187" s="78"/>
      <c r="R187" s="78"/>
      <c r="S187" s="78"/>
      <c r="T187" s="78"/>
      <c r="U187" s="78"/>
      <c r="V187" s="78"/>
      <c r="W187" s="78"/>
      <c r="X187" s="78"/>
      <c r="Y187" s="78"/>
      <c r="Z187" s="78"/>
      <c r="AA187" s="78"/>
      <c r="AB187" s="78"/>
      <c r="AC187" s="78"/>
      <c r="AD187" s="78"/>
      <c r="AE187" s="78"/>
    </row>
    <row r="188" spans="1:31" x14ac:dyDescent="0.2">
      <c r="A188" s="42" t="s">
        <v>348</v>
      </c>
      <c r="B188" s="3">
        <v>4.3899999999999997</v>
      </c>
      <c r="C188" s="3">
        <v>2.56</v>
      </c>
      <c r="D188" s="3">
        <v>2.7</v>
      </c>
      <c r="E188" s="3">
        <v>2.64</v>
      </c>
      <c r="F188" s="3">
        <v>2.7</v>
      </c>
      <c r="G188" s="3">
        <v>2.4300000000000002</v>
      </c>
      <c r="H188" s="3">
        <v>2.97</v>
      </c>
      <c r="I188" s="3">
        <v>2.9</v>
      </c>
      <c r="J188" s="3">
        <v>3.02</v>
      </c>
      <c r="K188" s="3">
        <v>6.16</v>
      </c>
      <c r="L188" s="3">
        <v>7.77</v>
      </c>
      <c r="M188" s="3">
        <v>7.37</v>
      </c>
      <c r="N188" s="3">
        <v>6.68</v>
      </c>
      <c r="O188" s="3">
        <v>6.35</v>
      </c>
      <c r="P188" s="3">
        <v>5.67</v>
      </c>
      <c r="Q188" s="3">
        <v>5.54</v>
      </c>
      <c r="R188" s="3">
        <v>6.7</v>
      </c>
      <c r="S188" s="3">
        <v>7.26</v>
      </c>
      <c r="T188" s="3">
        <v>6.72</v>
      </c>
      <c r="U188" s="3">
        <v>5.76</v>
      </c>
      <c r="V188" s="3">
        <v>6.24</v>
      </c>
      <c r="W188" s="3">
        <v>5.65</v>
      </c>
      <c r="X188" s="3">
        <v>5.67</v>
      </c>
      <c r="Y188" s="3">
        <v>5.24</v>
      </c>
      <c r="Z188" s="3">
        <v>8.1</v>
      </c>
      <c r="AA188" s="3">
        <v>4.49</v>
      </c>
      <c r="AB188" s="3">
        <v>4.0199999999999996</v>
      </c>
      <c r="AC188" s="3">
        <v>3.76</v>
      </c>
      <c r="AD188" s="3">
        <v>3.26</v>
      </c>
    </row>
    <row r="189" spans="1:31" x14ac:dyDescent="0.2">
      <c r="A189" s="42" t="s">
        <v>349</v>
      </c>
      <c r="B189" s="3">
        <v>0</v>
      </c>
      <c r="C189" s="3">
        <v>2.44</v>
      </c>
      <c r="D189" s="3">
        <v>3.37</v>
      </c>
      <c r="E189" s="3">
        <v>2.4</v>
      </c>
      <c r="F189" s="3">
        <v>1.99</v>
      </c>
      <c r="G189" s="3">
        <v>2.0299999999999998</v>
      </c>
      <c r="H189" s="3">
        <v>2.95</v>
      </c>
      <c r="I189" s="3">
        <v>2.95</v>
      </c>
      <c r="J189" s="3">
        <v>3.15</v>
      </c>
      <c r="K189" s="3">
        <v>2.81</v>
      </c>
      <c r="L189" s="3">
        <v>3.54</v>
      </c>
      <c r="M189" s="3">
        <v>4.0999999999999996</v>
      </c>
      <c r="N189" s="3">
        <v>3.69</v>
      </c>
      <c r="O189" s="3">
        <v>3.67</v>
      </c>
      <c r="P189" s="3">
        <v>2.82</v>
      </c>
      <c r="Q189" s="3">
        <v>0</v>
      </c>
      <c r="R189" s="3">
        <v>2.34</v>
      </c>
      <c r="S189" s="3">
        <v>0</v>
      </c>
      <c r="T189" s="3">
        <v>2.74</v>
      </c>
      <c r="U189" s="3">
        <v>1.82</v>
      </c>
      <c r="V189" s="3">
        <v>1.86</v>
      </c>
      <c r="W189" s="3">
        <v>1.74</v>
      </c>
      <c r="X189" s="3">
        <v>2.19</v>
      </c>
      <c r="Y189" s="3">
        <v>1.83</v>
      </c>
      <c r="Z189" s="3">
        <v>2.41</v>
      </c>
      <c r="AA189" s="3">
        <v>2.5</v>
      </c>
      <c r="AB189" s="3">
        <v>2.73</v>
      </c>
      <c r="AC189" s="3">
        <v>1.43</v>
      </c>
      <c r="AD189" s="3">
        <v>1.05</v>
      </c>
    </row>
    <row r="190" spans="1:31" x14ac:dyDescent="0.2">
      <c r="A190" s="42" t="s">
        <v>350</v>
      </c>
      <c r="B190" s="3">
        <v>0</v>
      </c>
      <c r="C190" s="3">
        <v>0</v>
      </c>
      <c r="D190" s="3">
        <v>0</v>
      </c>
      <c r="E190" s="3">
        <v>0</v>
      </c>
      <c r="F190" s="3">
        <v>0</v>
      </c>
      <c r="G190" s="3">
        <v>0</v>
      </c>
      <c r="H190" s="3">
        <v>0</v>
      </c>
      <c r="I190" s="3">
        <v>0</v>
      </c>
      <c r="J190" s="3">
        <v>0</v>
      </c>
      <c r="K190" s="3">
        <v>0</v>
      </c>
      <c r="L190" s="3">
        <v>0</v>
      </c>
      <c r="M190" s="3">
        <v>0</v>
      </c>
      <c r="N190" s="3">
        <v>0</v>
      </c>
      <c r="O190" s="3">
        <v>0</v>
      </c>
      <c r="P190" s="3">
        <v>0</v>
      </c>
      <c r="Q190" s="3">
        <v>2.62</v>
      </c>
      <c r="R190" s="3">
        <v>0</v>
      </c>
      <c r="S190" s="3">
        <v>1.72</v>
      </c>
      <c r="T190" s="3">
        <v>0</v>
      </c>
      <c r="U190" s="3">
        <v>0</v>
      </c>
      <c r="V190" s="3">
        <v>0</v>
      </c>
      <c r="W190" s="3">
        <v>0</v>
      </c>
      <c r="X190" s="3">
        <v>0</v>
      </c>
      <c r="Y190" s="3">
        <v>0</v>
      </c>
      <c r="Z190" s="3">
        <v>0</v>
      </c>
      <c r="AA190" s="3">
        <v>0</v>
      </c>
      <c r="AB190" s="3">
        <v>0</v>
      </c>
      <c r="AC190" s="3">
        <v>0</v>
      </c>
      <c r="AD190" s="3">
        <v>0</v>
      </c>
    </row>
    <row r="191" spans="1:31" x14ac:dyDescent="0.2">
      <c r="A191" s="42" t="s">
        <v>351</v>
      </c>
      <c r="B191" s="3">
        <v>5.64</v>
      </c>
      <c r="C191" s="3">
        <v>5.73</v>
      </c>
      <c r="D191" s="3">
        <v>5.75</v>
      </c>
      <c r="E191" s="3">
        <v>5.33</v>
      </c>
      <c r="F191" s="3">
        <v>4.9400000000000004</v>
      </c>
      <c r="G191" s="3">
        <v>4.12</v>
      </c>
      <c r="H191" s="3">
        <v>3.58</v>
      </c>
      <c r="I191" s="3">
        <v>9.58</v>
      </c>
      <c r="J191" s="3">
        <v>9.44</v>
      </c>
      <c r="K191" s="3">
        <v>8.94</v>
      </c>
      <c r="L191" s="3">
        <v>8.07</v>
      </c>
      <c r="M191" s="3">
        <v>7.45</v>
      </c>
      <c r="N191" s="3">
        <v>6.74</v>
      </c>
      <c r="O191" s="3">
        <v>5.85</v>
      </c>
      <c r="P191" s="3">
        <v>5.64</v>
      </c>
      <c r="Q191" s="3">
        <v>6.99</v>
      </c>
      <c r="R191" s="3">
        <v>6.88</v>
      </c>
      <c r="S191" s="3">
        <v>40.14</v>
      </c>
      <c r="T191" s="3">
        <v>36.74</v>
      </c>
      <c r="U191" s="3">
        <v>28.27</v>
      </c>
      <c r="V191" s="3">
        <v>22.33</v>
      </c>
      <c r="W191" s="3">
        <v>14.36</v>
      </c>
      <c r="X191" s="3">
        <v>10.9</v>
      </c>
      <c r="Y191" s="3">
        <v>8</v>
      </c>
      <c r="Z191" s="3">
        <v>6.81</v>
      </c>
      <c r="AA191" s="3">
        <v>3.51</v>
      </c>
      <c r="AB191" s="3">
        <v>4.9400000000000004</v>
      </c>
      <c r="AC191" s="3">
        <v>6.92</v>
      </c>
      <c r="AD191" s="3">
        <v>7.62</v>
      </c>
    </row>
    <row r="192" spans="1:31" x14ac:dyDescent="0.2">
      <c r="A192" s="42" t="s">
        <v>352</v>
      </c>
      <c r="B192" s="3">
        <v>0.01</v>
      </c>
      <c r="C192" s="3">
        <v>1.7999999999999999E-2</v>
      </c>
      <c r="D192" s="3">
        <v>0.104</v>
      </c>
      <c r="E192" s="3">
        <v>0.20699999999999999</v>
      </c>
      <c r="F192" s="3">
        <v>0.14399999999999999</v>
      </c>
      <c r="G192" s="3">
        <v>0.32800000000000001</v>
      </c>
      <c r="H192" s="3">
        <v>0.53100000000000003</v>
      </c>
      <c r="I192" s="3">
        <v>0.58199999999999996</v>
      </c>
      <c r="J192" s="3">
        <v>0.60299999999999998</v>
      </c>
      <c r="K192" s="3">
        <v>0.66800000000000004</v>
      </c>
      <c r="L192" s="3">
        <v>0.80700000000000005</v>
      </c>
      <c r="M192" s="3">
        <v>1.04</v>
      </c>
      <c r="N192" s="3">
        <v>0.98399999999999999</v>
      </c>
      <c r="O192" s="3">
        <v>1.18</v>
      </c>
      <c r="P192" s="3">
        <v>1.18</v>
      </c>
      <c r="Q192" s="3">
        <v>1.19</v>
      </c>
      <c r="R192" s="3">
        <v>0.98599999999999999</v>
      </c>
      <c r="S192" s="3">
        <v>1.23</v>
      </c>
      <c r="T192" s="3">
        <v>1.45</v>
      </c>
      <c r="U192" s="3">
        <v>1.26</v>
      </c>
      <c r="V192" s="3">
        <v>0.96699999999999997</v>
      </c>
      <c r="W192" s="3">
        <v>0.68600000000000005</v>
      </c>
      <c r="X192" s="3">
        <v>1.53</v>
      </c>
      <c r="Y192" s="3">
        <v>1.85</v>
      </c>
      <c r="Z192" s="3">
        <v>1.74</v>
      </c>
      <c r="AA192" s="3">
        <v>0.83099999999999996</v>
      </c>
      <c r="AB192" s="3">
        <v>0.74399999999999999</v>
      </c>
      <c r="AC192" s="3">
        <v>1.1499999999999999</v>
      </c>
      <c r="AD192" s="3">
        <v>1.75</v>
      </c>
    </row>
    <row r="193" spans="1:31" x14ac:dyDescent="0.2">
      <c r="A193" s="42" t="s">
        <v>353</v>
      </c>
      <c r="B193" s="78"/>
      <c r="C193" s="78"/>
      <c r="D193" s="78"/>
      <c r="E193" s="78"/>
      <c r="F193" s="78"/>
      <c r="G193" s="78"/>
      <c r="H193" s="78"/>
      <c r="I193" s="78"/>
      <c r="J193" s="78"/>
      <c r="K193" s="78"/>
      <c r="L193" s="78"/>
      <c r="M193" s="78"/>
      <c r="N193" s="78"/>
      <c r="O193" s="78"/>
      <c r="P193" s="78"/>
      <c r="Q193" s="78"/>
      <c r="R193" s="78"/>
      <c r="S193" s="78"/>
      <c r="T193" s="78"/>
      <c r="U193" s="78"/>
      <c r="V193" s="78"/>
      <c r="W193" s="78"/>
      <c r="X193" s="78"/>
      <c r="Y193" s="78"/>
      <c r="Z193" s="78"/>
      <c r="AA193" s="78"/>
      <c r="AB193" s="78"/>
      <c r="AC193" s="78"/>
      <c r="AD193" s="78"/>
      <c r="AE193" s="78"/>
    </row>
    <row r="194" spans="1:31" x14ac:dyDescent="0.2">
      <c r="A194" s="42" t="s">
        <v>354</v>
      </c>
      <c r="B194" s="3">
        <v>1.79</v>
      </c>
      <c r="C194" s="3">
        <v>2.41</v>
      </c>
      <c r="D194" s="3">
        <v>3.63</v>
      </c>
      <c r="E194" s="3">
        <v>4.41</v>
      </c>
      <c r="F194" s="3">
        <v>5.0999999999999996</v>
      </c>
      <c r="G194" s="3">
        <v>4.96</v>
      </c>
      <c r="H194" s="3">
        <v>4.74</v>
      </c>
      <c r="I194" s="3">
        <v>4.37</v>
      </c>
      <c r="J194" s="3">
        <v>4.4000000000000004</v>
      </c>
      <c r="K194" s="3">
        <v>4.5</v>
      </c>
      <c r="L194" s="3">
        <v>4.67</v>
      </c>
      <c r="M194" s="3">
        <v>5.13</v>
      </c>
      <c r="N194" s="3">
        <v>5.0999999999999996</v>
      </c>
      <c r="O194" s="3">
        <v>5.15</v>
      </c>
      <c r="P194" s="3">
        <v>5.01</v>
      </c>
      <c r="Q194" s="3">
        <v>4</v>
      </c>
      <c r="R194" s="3">
        <v>3.17</v>
      </c>
      <c r="S194" s="3">
        <v>3.03</v>
      </c>
      <c r="T194" s="3">
        <v>2.85</v>
      </c>
      <c r="U194" s="3">
        <v>2.42</v>
      </c>
      <c r="V194" s="3">
        <v>1.82</v>
      </c>
      <c r="W194" s="3">
        <v>1.44</v>
      </c>
      <c r="X194" s="3">
        <v>1.19</v>
      </c>
      <c r="Y194" s="3">
        <v>1.27</v>
      </c>
      <c r="Z194" s="3">
        <v>2.08</v>
      </c>
      <c r="AA194" s="3">
        <v>2.7</v>
      </c>
      <c r="AB194" s="3">
        <v>0.98199999999999998</v>
      </c>
      <c r="AC194" s="3">
        <v>0.71299999999999997</v>
      </c>
      <c r="AD194" s="3">
        <v>0.44500000000000001</v>
      </c>
    </row>
    <row r="195" spans="1:31" x14ac:dyDescent="0.2">
      <c r="A195" s="42" t="s">
        <v>355</v>
      </c>
      <c r="B195" s="3">
        <v>-0.32800000000000001</v>
      </c>
      <c r="C195" s="3">
        <v>-0.27500000000000002</v>
      </c>
      <c r="D195" s="3">
        <v>9.2999999999999999E-2</v>
      </c>
      <c r="E195" s="3">
        <v>2.8000000000000001E-2</v>
      </c>
      <c r="F195" s="3">
        <v>0.93600000000000005</v>
      </c>
      <c r="G195" s="3">
        <v>0.55400000000000005</v>
      </c>
      <c r="H195" s="3">
        <v>0.59299999999999997</v>
      </c>
      <c r="I195" s="3">
        <v>9.2999999999999999E-2</v>
      </c>
      <c r="J195" s="3">
        <v>0.68400000000000005</v>
      </c>
      <c r="K195" s="3">
        <v>0.96799999999999997</v>
      </c>
      <c r="L195" s="3">
        <v>1.32</v>
      </c>
      <c r="M195" s="3">
        <v>0.129</v>
      </c>
      <c r="N195" s="3">
        <v>0.26500000000000001</v>
      </c>
      <c r="O195" s="3">
        <v>0.45400000000000001</v>
      </c>
      <c r="P195" s="3">
        <v>0.52500000000000002</v>
      </c>
      <c r="Q195" s="3">
        <v>0.66600000000000004</v>
      </c>
      <c r="R195" s="3">
        <v>0.81</v>
      </c>
      <c r="S195" s="3">
        <v>0.748</v>
      </c>
      <c r="T195" s="3">
        <v>0.79400000000000004</v>
      </c>
      <c r="U195" s="3">
        <v>0.80400000000000005</v>
      </c>
      <c r="V195" s="3">
        <v>0.69399999999999995</v>
      </c>
      <c r="W195" s="3">
        <v>0.53300000000000003</v>
      </c>
      <c r="X195" s="3">
        <v>0.25</v>
      </c>
      <c r="Y195" s="3">
        <v>6.0000000000000001E-3</v>
      </c>
      <c r="Z195" s="3">
        <v>-5.6000000000000001E-2</v>
      </c>
      <c r="AA195" s="3">
        <v>-1.1000000000000001</v>
      </c>
      <c r="AB195" s="3">
        <v>1E-3</v>
      </c>
      <c r="AC195" s="3">
        <v>-1.9E-2</v>
      </c>
      <c r="AD195" s="3">
        <v>4.2000000000000003E-2</v>
      </c>
    </row>
    <row r="196" spans="1:31" x14ac:dyDescent="0.2">
      <c r="A196" s="42" t="s">
        <v>18</v>
      </c>
      <c r="B196" s="3">
        <v>-80.05</v>
      </c>
      <c r="C196" s="3">
        <v>-0.34499999999999997</v>
      </c>
      <c r="D196" s="3">
        <v>-13.84</v>
      </c>
      <c r="E196" s="3">
        <v>-2.54</v>
      </c>
      <c r="F196" s="3">
        <v>-25.3</v>
      </c>
      <c r="G196" s="3">
        <v>-11.1</v>
      </c>
      <c r="H196" s="3">
        <v>0.49399999999999999</v>
      </c>
      <c r="I196" s="3">
        <v>3.3000000000000002E-2</v>
      </c>
      <c r="J196" s="3">
        <v>0.65</v>
      </c>
      <c r="K196" s="3">
        <v>0.94799999999999995</v>
      </c>
      <c r="L196" s="3">
        <v>1.2</v>
      </c>
      <c r="M196" s="3">
        <v>-5.5E-2</v>
      </c>
      <c r="N196" s="3">
        <v>0.11899999999999999</v>
      </c>
      <c r="O196" s="3">
        <v>9.7000000000000003E-2</v>
      </c>
      <c r="P196" s="3">
        <v>9.0999999999999998E-2</v>
      </c>
      <c r="Q196" s="3">
        <v>0.504</v>
      </c>
      <c r="R196" s="3">
        <v>0.621</v>
      </c>
      <c r="S196" s="3">
        <v>0.38</v>
      </c>
      <c r="T196" s="3">
        <v>0.745</v>
      </c>
      <c r="U196" s="3">
        <v>0.76700000000000002</v>
      </c>
      <c r="V196" s="3">
        <v>0.68200000000000005</v>
      </c>
      <c r="W196" s="3">
        <v>0.498</v>
      </c>
      <c r="X196" s="3">
        <v>0.222</v>
      </c>
      <c r="Y196" s="3">
        <v>-3.1E-2</v>
      </c>
      <c r="Z196" s="3">
        <v>-7.8E-2</v>
      </c>
      <c r="AA196" s="3">
        <v>-1.69</v>
      </c>
      <c r="AB196" s="3">
        <v>-0.153</v>
      </c>
      <c r="AC196" s="3">
        <v>-8.7999999999999995E-2</v>
      </c>
      <c r="AD196" s="3">
        <v>-2.5000000000000001E-2</v>
      </c>
    </row>
    <row r="197" spans="1:31" x14ac:dyDescent="0.2">
      <c r="A197" s="42" t="s">
        <v>356</v>
      </c>
      <c r="B197" s="3">
        <v>0.23499999999999999</v>
      </c>
      <c r="C197" s="3">
        <v>0.19800000000000001</v>
      </c>
      <c r="D197" s="3">
        <v>0.34200000000000003</v>
      </c>
      <c r="E197" s="3">
        <v>0.38700000000000001</v>
      </c>
      <c r="F197" s="3">
        <v>0.63200000000000001</v>
      </c>
      <c r="G197" s="3">
        <v>0.61599999999999999</v>
      </c>
      <c r="H197" s="3">
        <v>5.52</v>
      </c>
      <c r="I197" s="3">
        <v>5.0599999999999996</v>
      </c>
      <c r="J197" s="3">
        <v>5.9</v>
      </c>
      <c r="K197" s="3">
        <v>5.16</v>
      </c>
      <c r="L197" s="3">
        <v>4.28</v>
      </c>
      <c r="M197" s="3">
        <v>3.06</v>
      </c>
      <c r="N197" s="3">
        <v>3.16</v>
      </c>
      <c r="O197" s="3">
        <v>2.0299999999999998</v>
      </c>
      <c r="P197" s="3">
        <v>1.87</v>
      </c>
      <c r="Q197" s="3">
        <v>1.53</v>
      </c>
      <c r="R197" s="3">
        <v>1.89</v>
      </c>
      <c r="S197" s="3">
        <v>1.04</v>
      </c>
      <c r="T197" s="3">
        <v>0.71499999999999997</v>
      </c>
      <c r="U197" s="3">
        <v>0.60799999999999998</v>
      </c>
      <c r="V197" s="3">
        <v>0.65100000000000002</v>
      </c>
      <c r="W197" s="3">
        <v>0.66100000000000003</v>
      </c>
      <c r="X197" s="3">
        <v>0.35</v>
      </c>
      <c r="Y197" s="3">
        <v>0.129</v>
      </c>
      <c r="Z197" s="3">
        <v>0.45400000000000001</v>
      </c>
      <c r="AA197" s="3">
        <v>0.86199999999999999</v>
      </c>
      <c r="AB197" s="3">
        <v>0.16800000000000001</v>
      </c>
      <c r="AC197" s="3">
        <v>0.20499999999999999</v>
      </c>
      <c r="AD197" s="3">
        <v>0.03</v>
      </c>
    </row>
    <row r="198" spans="1:31" x14ac:dyDescent="0.2">
      <c r="A198" s="42" t="s">
        <v>357</v>
      </c>
      <c r="B198" s="3">
        <v>-20.83</v>
      </c>
      <c r="C198" s="3">
        <v>-6.06</v>
      </c>
      <c r="D198" s="3">
        <v>3.14</v>
      </c>
      <c r="E198" s="3">
        <v>-12.98</v>
      </c>
      <c r="F198" s="3">
        <v>-5.34</v>
      </c>
      <c r="G198" s="3">
        <v>-7.8E-2</v>
      </c>
      <c r="H198" s="3">
        <v>0.33500000000000002</v>
      </c>
      <c r="I198" s="3">
        <v>0.19800000000000001</v>
      </c>
      <c r="J198" s="3">
        <v>0.159</v>
      </c>
      <c r="K198" s="3">
        <v>0.80700000000000005</v>
      </c>
      <c r="L198" s="3">
        <v>0.93300000000000005</v>
      </c>
      <c r="M198" s="3">
        <v>4.4999999999999998E-2</v>
      </c>
      <c r="N198" s="3">
        <v>0.73699999999999999</v>
      </c>
      <c r="O198" s="3">
        <v>0.187</v>
      </c>
      <c r="P198" s="3">
        <v>0.16700000000000001</v>
      </c>
      <c r="Q198" s="3">
        <v>0.38500000000000001</v>
      </c>
      <c r="R198" s="3">
        <v>0.629</v>
      </c>
      <c r="S198" s="3">
        <v>0.35199999999999998</v>
      </c>
      <c r="T198" s="3">
        <v>0.47399999999999998</v>
      </c>
      <c r="U198" s="3">
        <v>0.54600000000000004</v>
      </c>
      <c r="V198" s="3">
        <v>0.438</v>
      </c>
      <c r="W198" s="3">
        <v>1.05</v>
      </c>
      <c r="X198" s="3">
        <v>-2.5999999999999999E-2</v>
      </c>
      <c r="Y198" s="3">
        <v>0.32600000000000001</v>
      </c>
      <c r="Z198" s="3">
        <v>-0.93400000000000005</v>
      </c>
      <c r="AA198" s="3">
        <v>-2.12</v>
      </c>
      <c r="AB198" s="3">
        <v>-0.219</v>
      </c>
      <c r="AC198" s="3">
        <v>-1.7000000000000001E-2</v>
      </c>
      <c r="AD198" s="3">
        <v>-8.0000000000000002E-3</v>
      </c>
    </row>
    <row r="199" spans="1:31" x14ac:dyDescent="0.2">
      <c r="A199" s="42" t="s">
        <v>358</v>
      </c>
      <c r="B199" s="3">
        <v>-29.31</v>
      </c>
      <c r="C199" s="3">
        <v>-9.5299999999999994</v>
      </c>
      <c r="D199" s="3">
        <v>-0.73499999999999999</v>
      </c>
      <c r="E199" s="3">
        <v>-11.17</v>
      </c>
      <c r="F199" s="3">
        <v>-7.72</v>
      </c>
      <c r="G199" s="3">
        <v>-3.0000000000000001E-3</v>
      </c>
      <c r="H199" s="3">
        <v>7.3999999999999996E-2</v>
      </c>
      <c r="I199" s="3">
        <v>6.8000000000000005E-2</v>
      </c>
      <c r="J199" s="3">
        <v>0.77600000000000002</v>
      </c>
      <c r="K199" s="3">
        <v>1.1299999999999999</v>
      </c>
      <c r="L199" s="3">
        <v>1.37</v>
      </c>
      <c r="M199" s="3">
        <v>0.26900000000000002</v>
      </c>
      <c r="N199" s="3">
        <v>0.40600000000000003</v>
      </c>
      <c r="O199" s="3">
        <v>0.505</v>
      </c>
      <c r="P199" s="3">
        <v>0.35599999999999998</v>
      </c>
      <c r="Q199" s="3">
        <v>0.55700000000000005</v>
      </c>
      <c r="R199" s="3">
        <v>0.81399999999999995</v>
      </c>
      <c r="S199" s="3">
        <v>0.624</v>
      </c>
      <c r="T199" s="3">
        <v>0.77700000000000002</v>
      </c>
      <c r="U199" s="3">
        <v>0.82699999999999996</v>
      </c>
      <c r="V199" s="3">
        <v>0.69299999999999995</v>
      </c>
      <c r="W199" s="3">
        <v>0.47799999999999998</v>
      </c>
      <c r="X199" s="3">
        <v>0.249</v>
      </c>
      <c r="Y199" s="3">
        <v>0.20200000000000001</v>
      </c>
      <c r="Z199" s="3">
        <v>-0.42899999999999999</v>
      </c>
      <c r="AA199" s="3">
        <v>-1.1100000000000001</v>
      </c>
      <c r="AB199" s="3">
        <v>-0.12</v>
      </c>
      <c r="AC199" s="3">
        <v>7.0000000000000001E-3</v>
      </c>
      <c r="AD199" s="3">
        <v>5.0000000000000001E-3</v>
      </c>
    </row>
    <row r="200" spans="1:31" x14ac:dyDescent="0.2">
      <c r="A200" s="42" t="s">
        <v>35</v>
      </c>
      <c r="B200" s="3">
        <v>0</v>
      </c>
      <c r="C200" s="3">
        <v>0</v>
      </c>
      <c r="D200" s="3">
        <v>0</v>
      </c>
      <c r="E200" s="3">
        <v>0</v>
      </c>
      <c r="F200" s="3">
        <v>0</v>
      </c>
      <c r="G200" s="3">
        <v>0</v>
      </c>
      <c r="H200" s="3">
        <v>0</v>
      </c>
      <c r="I200" s="3">
        <v>0</v>
      </c>
      <c r="J200" s="3">
        <v>0</v>
      </c>
      <c r="K200" s="3">
        <v>0</v>
      </c>
      <c r="L200" s="3">
        <v>0</v>
      </c>
      <c r="M200" s="3">
        <v>0</v>
      </c>
      <c r="N200" s="3">
        <v>0</v>
      </c>
      <c r="O200" s="3">
        <v>0</v>
      </c>
      <c r="P200" s="3">
        <v>0</v>
      </c>
      <c r="Q200" s="3">
        <v>0</v>
      </c>
      <c r="R200" s="3">
        <v>1E-3</v>
      </c>
      <c r="S200" s="3">
        <v>0</v>
      </c>
      <c r="T200" s="3">
        <v>0</v>
      </c>
      <c r="U200" s="3">
        <v>0</v>
      </c>
      <c r="V200" s="3">
        <v>0</v>
      </c>
      <c r="W200" s="3">
        <v>0</v>
      </c>
      <c r="X200" s="3">
        <v>0</v>
      </c>
      <c r="Y200" s="3">
        <v>0</v>
      </c>
      <c r="Z200" s="3">
        <v>2E-3</v>
      </c>
      <c r="AA200" s="3">
        <v>0</v>
      </c>
      <c r="AB200" s="3">
        <v>0</v>
      </c>
      <c r="AC200" s="3">
        <v>0</v>
      </c>
      <c r="AD200" s="3">
        <v>0</v>
      </c>
    </row>
    <row r="201" spans="1:31" x14ac:dyDescent="0.2">
      <c r="A201" s="42" t="s">
        <v>359</v>
      </c>
      <c r="B201" s="3">
        <v>172.1</v>
      </c>
      <c r="C201" s="3">
        <v>327.10000000000002</v>
      </c>
      <c r="D201" s="3">
        <v>79.31</v>
      </c>
      <c r="E201" s="3">
        <v>35.380000000000003</v>
      </c>
      <c r="F201" s="3">
        <v>76.09</v>
      </c>
      <c r="G201" s="3">
        <v>44.13</v>
      </c>
      <c r="H201" s="3">
        <v>9.75</v>
      </c>
      <c r="I201" s="3">
        <v>0</v>
      </c>
      <c r="J201" s="3">
        <v>0</v>
      </c>
      <c r="K201" s="3">
        <v>0</v>
      </c>
      <c r="L201" s="3">
        <v>0</v>
      </c>
      <c r="M201" s="3">
        <v>0</v>
      </c>
      <c r="N201" s="3">
        <v>0</v>
      </c>
      <c r="O201" s="3">
        <v>0</v>
      </c>
      <c r="P201" s="3">
        <v>0</v>
      </c>
      <c r="Q201" s="3">
        <v>0</v>
      </c>
      <c r="R201" s="3">
        <v>0</v>
      </c>
      <c r="S201" s="3">
        <v>0</v>
      </c>
      <c r="T201" s="3">
        <v>0</v>
      </c>
      <c r="U201" s="3">
        <v>0</v>
      </c>
      <c r="V201" s="3">
        <v>0</v>
      </c>
      <c r="W201" s="3">
        <v>0</v>
      </c>
      <c r="X201" s="3">
        <v>0</v>
      </c>
      <c r="Y201" s="3">
        <v>1.81</v>
      </c>
      <c r="Z201" s="3">
        <v>3.41</v>
      </c>
      <c r="AA201" s="3">
        <v>0</v>
      </c>
      <c r="AB201" s="3">
        <v>0</v>
      </c>
      <c r="AC201" s="3">
        <v>7.71</v>
      </c>
      <c r="AD201" s="3">
        <v>5.28</v>
      </c>
    </row>
    <row r="202" spans="1:31" x14ac:dyDescent="0.2">
      <c r="A202" s="42" t="s">
        <v>16</v>
      </c>
      <c r="B202" s="2"/>
      <c r="C202" s="3">
        <v>56.89</v>
      </c>
      <c r="D202" s="3">
        <v>94.68</v>
      </c>
      <c r="E202" s="3">
        <v>15.84</v>
      </c>
      <c r="F202" s="3">
        <v>-3.38</v>
      </c>
      <c r="G202" s="3">
        <v>9.77</v>
      </c>
      <c r="H202" s="3">
        <v>5.71</v>
      </c>
      <c r="I202" s="3">
        <v>4.96</v>
      </c>
      <c r="J202" s="3">
        <v>4.66</v>
      </c>
      <c r="K202" s="3">
        <v>5.16</v>
      </c>
      <c r="L202" s="3">
        <v>4.83</v>
      </c>
      <c r="M202" s="3">
        <v>4.01</v>
      </c>
      <c r="N202" s="3">
        <v>2.87</v>
      </c>
      <c r="O202" s="3">
        <v>2.75</v>
      </c>
      <c r="P202" s="3">
        <v>1.82</v>
      </c>
      <c r="Q202" s="3">
        <v>1.58</v>
      </c>
      <c r="R202" s="3">
        <v>1.31</v>
      </c>
      <c r="S202" s="3">
        <v>1.8</v>
      </c>
      <c r="T202" s="3">
        <v>1.1599999999999999</v>
      </c>
      <c r="U202" s="3">
        <v>0.83799999999999997</v>
      </c>
      <c r="V202" s="3">
        <v>1.03</v>
      </c>
      <c r="W202" s="3">
        <v>1.22</v>
      </c>
      <c r="X202" s="3">
        <v>1.5</v>
      </c>
      <c r="Y202" s="3">
        <v>0.3</v>
      </c>
      <c r="Z202" s="3">
        <v>-0.29599999999999999</v>
      </c>
      <c r="AA202" s="3">
        <v>-0.80100000000000005</v>
      </c>
      <c r="AB202" s="3">
        <v>0.183</v>
      </c>
      <c r="AC202" s="3">
        <v>0.66100000000000003</v>
      </c>
      <c r="AD202" s="3">
        <v>0.34599999999999997</v>
      </c>
      <c r="AE202" s="3">
        <v>-3.0000000000000001E-3</v>
      </c>
    </row>
    <row r="203" spans="1:31" x14ac:dyDescent="0.2">
      <c r="A203" s="42" t="s">
        <v>360</v>
      </c>
      <c r="B203" s="3">
        <v>171.9</v>
      </c>
      <c r="C203" s="3">
        <v>289.60000000000002</v>
      </c>
      <c r="D203" s="3">
        <v>63.16</v>
      </c>
      <c r="E203" s="3">
        <v>14.16</v>
      </c>
      <c r="F203" s="3">
        <v>54.45</v>
      </c>
      <c r="G203" s="3">
        <v>38.85</v>
      </c>
      <c r="H203" s="3">
        <v>14.26</v>
      </c>
      <c r="I203" s="3">
        <v>12.78</v>
      </c>
      <c r="J203" s="3">
        <v>13.13</v>
      </c>
      <c r="K203" s="3">
        <v>19.739999999999998</v>
      </c>
      <c r="L203" s="3">
        <v>17.93</v>
      </c>
      <c r="M203" s="3">
        <v>16.239999999999998</v>
      </c>
      <c r="N203" s="3">
        <v>12.42</v>
      </c>
      <c r="O203" s="3">
        <v>9.34</v>
      </c>
      <c r="P203" s="3">
        <v>10.83</v>
      </c>
      <c r="Q203" s="3">
        <v>8.5500000000000007</v>
      </c>
      <c r="R203" s="3">
        <v>9.4</v>
      </c>
      <c r="S203" s="3">
        <v>3.71</v>
      </c>
      <c r="T203" s="3">
        <v>9.51</v>
      </c>
      <c r="U203" s="3">
        <v>11.4</v>
      </c>
      <c r="V203" s="3">
        <v>8.27</v>
      </c>
      <c r="W203" s="3">
        <v>6.03</v>
      </c>
      <c r="X203" s="3">
        <v>5.25</v>
      </c>
      <c r="Y203" s="3">
        <v>1.51</v>
      </c>
      <c r="Z203" s="3">
        <v>3.85</v>
      </c>
      <c r="AA203" s="3">
        <v>9.5</v>
      </c>
      <c r="AB203" s="3">
        <v>52.5</v>
      </c>
      <c r="AC203" s="3">
        <v>7.88</v>
      </c>
      <c r="AD203" s="3">
        <v>5.28</v>
      </c>
    </row>
    <row r="204" spans="1:31" x14ac:dyDescent="0.2">
      <c r="A204" s="42" t="s">
        <v>69</v>
      </c>
      <c r="B204" s="5">
        <v>0.30430000000000001</v>
      </c>
      <c r="C204" s="5">
        <v>0.39689999999999998</v>
      </c>
      <c r="D204" s="5">
        <v>4.4459999999999997</v>
      </c>
      <c r="E204" s="5">
        <v>-0.1114</v>
      </c>
      <c r="F204" s="74">
        <v>0.34</v>
      </c>
      <c r="G204" s="5">
        <v>0.62290000000000001</v>
      </c>
      <c r="H204" s="5">
        <v>0.1021</v>
      </c>
      <c r="I204" s="5">
        <v>-9.8599999999999993E-2</v>
      </c>
      <c r="J204" s="5">
        <v>0.74539999999999995</v>
      </c>
      <c r="K204" s="5">
        <v>0.19750000000000001</v>
      </c>
      <c r="L204" s="5">
        <v>0.2316</v>
      </c>
      <c r="M204" s="5">
        <v>0.5444</v>
      </c>
      <c r="N204" s="5">
        <v>-0.58499999999999996</v>
      </c>
      <c r="O204" s="5">
        <v>0.30220000000000002</v>
      </c>
      <c r="P204" s="5">
        <v>0.1346</v>
      </c>
      <c r="Q204" s="5">
        <v>0.20319999999999999</v>
      </c>
      <c r="R204" s="5">
        <v>0.29480000000000001</v>
      </c>
      <c r="S204" s="5">
        <v>0.4098</v>
      </c>
      <c r="T204" s="5">
        <v>0.35880000000000001</v>
      </c>
      <c r="U204" s="5">
        <v>0.30080000000000001</v>
      </c>
      <c r="V204" s="5">
        <v>0.34050000000000002</v>
      </c>
      <c r="W204" s="5">
        <v>-1.4279999999999999</v>
      </c>
      <c r="X204" s="5">
        <v>0.35659999999999997</v>
      </c>
      <c r="Y204" s="5">
        <v>3.0300000000000001E-2</v>
      </c>
      <c r="Z204" s="5">
        <v>-5.3999999999999999E-2</v>
      </c>
      <c r="AA204" s="5">
        <v>-6.5500000000000003E-3</v>
      </c>
      <c r="AB204" s="5">
        <v>-5.3600000000000002E-2</v>
      </c>
      <c r="AC204" s="5">
        <v>0.3301</v>
      </c>
      <c r="AD204" s="74">
        <v>0</v>
      </c>
    </row>
    <row r="205" spans="1:31" x14ac:dyDescent="0.2">
      <c r="A205" s="42" t="s">
        <v>361</v>
      </c>
      <c r="B205" s="3">
        <v>-1.55</v>
      </c>
      <c r="C205" s="3">
        <v>-102.6</v>
      </c>
      <c r="D205" s="3">
        <v>26.32</v>
      </c>
      <c r="E205" s="3">
        <v>7.07</v>
      </c>
      <c r="F205" s="3">
        <v>0</v>
      </c>
      <c r="G205" s="3">
        <v>0</v>
      </c>
      <c r="H205" s="3">
        <v>0</v>
      </c>
      <c r="I205" s="3">
        <v>0</v>
      </c>
      <c r="J205" s="3">
        <v>0</v>
      </c>
      <c r="K205" s="3">
        <v>0</v>
      </c>
      <c r="L205" s="3">
        <v>0</v>
      </c>
      <c r="M205" s="3">
        <v>0</v>
      </c>
      <c r="N205" s="3">
        <v>0</v>
      </c>
      <c r="O205" s="3">
        <v>0</v>
      </c>
      <c r="P205" s="3">
        <v>0</v>
      </c>
      <c r="Q205" s="3">
        <v>0</v>
      </c>
      <c r="R205" s="3">
        <v>0</v>
      </c>
      <c r="S205" s="3">
        <v>0</v>
      </c>
      <c r="T205" s="3">
        <v>0</v>
      </c>
      <c r="U205" s="3">
        <v>0</v>
      </c>
      <c r="V205" s="3">
        <v>0</v>
      </c>
      <c r="W205" s="3">
        <v>0</v>
      </c>
      <c r="X205" s="3">
        <v>0</v>
      </c>
      <c r="Y205" s="3">
        <v>0.14199999999999999</v>
      </c>
      <c r="Z205" s="3">
        <v>-4.01</v>
      </c>
      <c r="AA205" s="3">
        <v>0</v>
      </c>
      <c r="AB205" s="3">
        <v>0</v>
      </c>
      <c r="AC205" s="3">
        <v>-0.5</v>
      </c>
      <c r="AD205" s="3">
        <v>5.56</v>
      </c>
    </row>
    <row r="206" spans="1:31" x14ac:dyDescent="0.2">
      <c r="A206" s="42" t="s">
        <v>362</v>
      </c>
      <c r="B206" s="3">
        <v>-4.0000000000000001E-3</v>
      </c>
      <c r="C206" s="3">
        <v>-3.93</v>
      </c>
      <c r="D206" s="3">
        <v>7.0000000000000001E-3</v>
      </c>
      <c r="E206" s="3">
        <v>1.0999999999999999E-2</v>
      </c>
      <c r="F206" s="3">
        <v>3.5999999999999997E-2</v>
      </c>
      <c r="G206" s="3">
        <v>4.8000000000000001E-2</v>
      </c>
      <c r="H206" s="3">
        <v>5.98</v>
      </c>
      <c r="I206" s="3">
        <v>1.55</v>
      </c>
      <c r="J206" s="3">
        <v>19.670000000000002</v>
      </c>
      <c r="K206" s="3">
        <v>47.32</v>
      </c>
      <c r="L206" s="3">
        <v>11.44</v>
      </c>
      <c r="M206" s="3">
        <v>0.70199999999999996</v>
      </c>
      <c r="N206" s="3">
        <v>1.82</v>
      </c>
      <c r="O206" s="3">
        <v>1.27</v>
      </c>
      <c r="P206" s="3">
        <v>1.21</v>
      </c>
      <c r="Q206" s="3">
        <v>4.0999999999999996</v>
      </c>
      <c r="R206" s="3">
        <v>4.29</v>
      </c>
      <c r="S206" s="3">
        <v>2.0299999999999998</v>
      </c>
      <c r="T206" s="3">
        <v>15.98</v>
      </c>
      <c r="U206" s="3">
        <v>21.73</v>
      </c>
      <c r="V206" s="3">
        <v>53.78</v>
      </c>
      <c r="W206" s="3">
        <v>15.15</v>
      </c>
      <c r="X206" s="3">
        <v>8.8699999999999992</v>
      </c>
      <c r="Y206" s="3">
        <v>0.154</v>
      </c>
      <c r="Z206" s="3">
        <v>-2.58</v>
      </c>
      <c r="AA206" s="3">
        <v>-1.85</v>
      </c>
      <c r="AB206" s="3">
        <v>4.0000000000000001E-3</v>
      </c>
      <c r="AC206" s="3">
        <v>-0.26900000000000002</v>
      </c>
      <c r="AD206" s="3">
        <v>0.63300000000000001</v>
      </c>
    </row>
    <row r="207" spans="1:31" x14ac:dyDescent="0.2">
      <c r="A207" s="42" t="s">
        <v>363</v>
      </c>
      <c r="B207" s="3">
        <v>-16.48</v>
      </c>
      <c r="C207" s="3">
        <v>-4</v>
      </c>
      <c r="D207" s="3">
        <v>-0.23200000000000001</v>
      </c>
      <c r="E207" s="3">
        <v>-2.56</v>
      </c>
      <c r="F207" s="3">
        <v>-1.54</v>
      </c>
      <c r="G207" s="3">
        <v>-2.8000000000000001E-2</v>
      </c>
      <c r="H207" s="3">
        <v>-2E-3</v>
      </c>
      <c r="I207" s="3">
        <v>8.0000000000000002E-3</v>
      </c>
      <c r="J207" s="3">
        <v>0.14499999999999999</v>
      </c>
      <c r="K207" s="3">
        <v>0.21299999999999999</v>
      </c>
      <c r="L207" s="3">
        <v>0.253</v>
      </c>
      <c r="M207" s="3">
        <v>8.9999999999999993E-3</v>
      </c>
      <c r="N207" s="3">
        <v>3.4000000000000002E-2</v>
      </c>
      <c r="O207" s="3">
        <v>5.8999999999999997E-2</v>
      </c>
      <c r="P207" s="3">
        <v>3.9E-2</v>
      </c>
      <c r="Q207" s="3">
        <v>0.111</v>
      </c>
      <c r="R207" s="3">
        <v>0.22800000000000001</v>
      </c>
      <c r="S207" s="3">
        <v>0.188</v>
      </c>
      <c r="T207" s="3">
        <v>0.252</v>
      </c>
      <c r="U207" s="3">
        <v>0.318</v>
      </c>
      <c r="V207" s="3">
        <v>0.34899999999999998</v>
      </c>
      <c r="W207" s="3">
        <v>0.29599999999999999</v>
      </c>
      <c r="X207" s="3">
        <v>0.159</v>
      </c>
      <c r="Y207" s="3">
        <v>7.0999999999999994E-2</v>
      </c>
      <c r="Z207" s="3">
        <v>-0.37</v>
      </c>
      <c r="AA207" s="3">
        <v>-0.54700000000000004</v>
      </c>
      <c r="AB207" s="3">
        <v>-0.16700000000000001</v>
      </c>
      <c r="AC207" s="3">
        <v>-2.7E-2</v>
      </c>
      <c r="AD207" s="3">
        <v>-1.2E-2</v>
      </c>
    </row>
    <row r="208" spans="1:31" x14ac:dyDescent="0.2">
      <c r="A208" s="42" t="s">
        <v>364</v>
      </c>
      <c r="B208" s="3">
        <v>-16.37</v>
      </c>
      <c r="C208" s="3">
        <v>-3.96</v>
      </c>
      <c r="D208" s="3">
        <v>-0.20300000000000001</v>
      </c>
      <c r="E208" s="3">
        <v>-2.5299999999999998</v>
      </c>
      <c r="F208" s="3">
        <v>-1.51</v>
      </c>
      <c r="G208" s="3">
        <v>-1E-3</v>
      </c>
      <c r="H208" s="3">
        <v>1.6E-2</v>
      </c>
      <c r="I208" s="3">
        <v>1.4999999999999999E-2</v>
      </c>
      <c r="J208" s="3">
        <v>0.17599999999999999</v>
      </c>
      <c r="K208" s="3">
        <v>0.252</v>
      </c>
      <c r="L208" s="3">
        <v>0.29299999999999998</v>
      </c>
      <c r="M208" s="3">
        <v>5.1999999999999998E-2</v>
      </c>
      <c r="N208" s="3">
        <v>0.08</v>
      </c>
      <c r="O208" s="3">
        <v>9.8000000000000004E-2</v>
      </c>
      <c r="P208" s="3">
        <v>7.0999999999999994E-2</v>
      </c>
      <c r="Q208" s="3">
        <v>0.13900000000000001</v>
      </c>
      <c r="R208" s="3">
        <v>0.25700000000000001</v>
      </c>
      <c r="S208" s="3">
        <v>0.20599999999999999</v>
      </c>
      <c r="T208" s="3">
        <v>0.27300000000000002</v>
      </c>
      <c r="U208" s="3">
        <v>0.34200000000000003</v>
      </c>
      <c r="V208" s="3">
        <v>0.38100000000000001</v>
      </c>
      <c r="W208" s="3">
        <v>0.33200000000000002</v>
      </c>
      <c r="X208" s="3">
        <v>0.21</v>
      </c>
      <c r="Y208" s="3">
        <v>0.159</v>
      </c>
      <c r="Z208" s="3">
        <v>-0.20599999999999999</v>
      </c>
      <c r="AA208" s="3">
        <v>-0.41</v>
      </c>
      <c r="AB208" s="3">
        <v>-0.122</v>
      </c>
      <c r="AC208" s="3">
        <v>8.9999999999999993E-3</v>
      </c>
      <c r="AD208" s="3">
        <v>1.2E-2</v>
      </c>
    </row>
    <row r="209" spans="1:30" x14ac:dyDescent="0.2">
      <c r="A209" s="42" t="s">
        <v>365</v>
      </c>
      <c r="B209" s="3">
        <v>83.12</v>
      </c>
      <c r="C209" s="3">
        <v>142.69999999999999</v>
      </c>
      <c r="D209" s="3">
        <v>135.19999999999999</v>
      </c>
      <c r="E209" s="3">
        <v>138.4</v>
      </c>
      <c r="F209" s="3">
        <v>135.30000000000001</v>
      </c>
      <c r="G209" s="3">
        <v>149.9</v>
      </c>
      <c r="H209" s="3">
        <v>122.7</v>
      </c>
      <c r="I209" s="3">
        <v>125.7</v>
      </c>
      <c r="J209" s="3">
        <v>120.7</v>
      </c>
      <c r="K209" s="3">
        <v>59.21</v>
      </c>
      <c r="L209" s="3">
        <v>46.95</v>
      </c>
      <c r="M209" s="3">
        <v>49.5</v>
      </c>
      <c r="N209" s="3">
        <v>54.62</v>
      </c>
      <c r="O209" s="3">
        <v>57.45</v>
      </c>
      <c r="P209" s="3">
        <v>64.36</v>
      </c>
      <c r="Q209" s="3">
        <v>65.89</v>
      </c>
      <c r="R209" s="3">
        <v>54.49</v>
      </c>
      <c r="S209" s="3">
        <v>50.3</v>
      </c>
      <c r="T209" s="3">
        <v>54.35</v>
      </c>
      <c r="U209" s="3">
        <v>63.35</v>
      </c>
      <c r="V209" s="3">
        <v>58.49</v>
      </c>
      <c r="W209" s="3">
        <v>64.59</v>
      </c>
      <c r="X209" s="3">
        <v>64.430000000000007</v>
      </c>
      <c r="Y209" s="3">
        <v>69.62</v>
      </c>
      <c r="Z209" s="3">
        <v>45.08</v>
      </c>
      <c r="AA209" s="3">
        <v>81.260000000000005</v>
      </c>
      <c r="AB209" s="3">
        <v>90.7</v>
      </c>
      <c r="AC209" s="3">
        <v>97</v>
      </c>
      <c r="AD209" s="3">
        <v>111.8</v>
      </c>
    </row>
    <row r="210" spans="1:30" x14ac:dyDescent="0.2">
      <c r="A210" s="42" t="s">
        <v>366</v>
      </c>
      <c r="B210" s="3">
        <v>0</v>
      </c>
      <c r="C210" s="3">
        <v>0</v>
      </c>
      <c r="D210" s="3">
        <v>0</v>
      </c>
      <c r="E210" s="3">
        <v>0</v>
      </c>
      <c r="F210" s="3">
        <v>0</v>
      </c>
      <c r="G210" s="3">
        <v>0</v>
      </c>
      <c r="H210" s="3">
        <v>0</v>
      </c>
      <c r="I210" s="3">
        <v>0</v>
      </c>
      <c r="J210" s="3">
        <v>0</v>
      </c>
      <c r="K210" s="3">
        <v>0</v>
      </c>
      <c r="L210" s="3">
        <v>0</v>
      </c>
      <c r="M210" s="3">
        <v>0</v>
      </c>
      <c r="N210" s="3">
        <v>0</v>
      </c>
      <c r="O210" s="3">
        <v>0</v>
      </c>
      <c r="P210" s="3">
        <v>0</v>
      </c>
      <c r="Q210" s="3">
        <v>139.1</v>
      </c>
      <c r="R210" s="3">
        <v>0</v>
      </c>
      <c r="S210" s="3">
        <v>212.3</v>
      </c>
      <c r="T210" s="3">
        <v>0</v>
      </c>
      <c r="U210" s="3">
        <v>0</v>
      </c>
      <c r="V210" s="3">
        <v>0</v>
      </c>
      <c r="W210" s="3">
        <v>0</v>
      </c>
      <c r="X210" s="3">
        <v>0</v>
      </c>
      <c r="Y210" s="3">
        <v>0</v>
      </c>
      <c r="Z210" s="3">
        <v>0</v>
      </c>
      <c r="AA210" s="3">
        <v>0</v>
      </c>
      <c r="AB210" s="3">
        <v>0</v>
      </c>
      <c r="AC210" s="3">
        <v>0</v>
      </c>
      <c r="AD210" s="3">
        <v>0</v>
      </c>
    </row>
    <row r="211" spans="1:30" x14ac:dyDescent="0.2">
      <c r="A211" s="42" t="s">
        <v>367</v>
      </c>
      <c r="B211" s="3">
        <v>0</v>
      </c>
      <c r="C211" s="3">
        <v>149.4</v>
      </c>
      <c r="D211" s="3">
        <v>108.3</v>
      </c>
      <c r="E211" s="3">
        <v>152.30000000000001</v>
      </c>
      <c r="F211" s="3">
        <v>183</v>
      </c>
      <c r="G211" s="3">
        <v>179.8</v>
      </c>
      <c r="H211" s="3">
        <v>123.8</v>
      </c>
      <c r="I211" s="3">
        <v>123.6</v>
      </c>
      <c r="J211" s="3">
        <v>116</v>
      </c>
      <c r="K211" s="3">
        <v>129.80000000000001</v>
      </c>
      <c r="L211" s="3">
        <v>103</v>
      </c>
      <c r="M211" s="3">
        <v>89.12</v>
      </c>
      <c r="N211" s="3">
        <v>98.96</v>
      </c>
      <c r="O211" s="3">
        <v>99.36</v>
      </c>
      <c r="P211" s="3">
        <v>129.6</v>
      </c>
      <c r="Q211" s="3">
        <v>0</v>
      </c>
      <c r="R211" s="3">
        <v>156</v>
      </c>
      <c r="S211" s="3">
        <v>0</v>
      </c>
      <c r="T211" s="3">
        <v>133.19999999999999</v>
      </c>
      <c r="U211" s="3">
        <v>200.5</v>
      </c>
      <c r="V211" s="3">
        <v>195.8</v>
      </c>
      <c r="W211" s="3">
        <v>209.9</v>
      </c>
      <c r="X211" s="3">
        <v>166.5</v>
      </c>
      <c r="Y211" s="3">
        <v>199.7</v>
      </c>
      <c r="Z211" s="3">
        <v>151.4</v>
      </c>
      <c r="AA211" s="3">
        <v>145.69999999999999</v>
      </c>
      <c r="AB211" s="3">
        <v>133.9</v>
      </c>
      <c r="AC211" s="3">
        <v>256</v>
      </c>
      <c r="AD211" s="3">
        <v>347.5</v>
      </c>
    </row>
    <row r="212" spans="1:30" x14ac:dyDescent="0.2">
      <c r="A212" s="42" t="s">
        <v>368</v>
      </c>
      <c r="B212" s="3">
        <v>83.12</v>
      </c>
      <c r="C212" s="3">
        <v>-6.66</v>
      </c>
      <c r="D212" s="3">
        <v>26.88</v>
      </c>
      <c r="E212" s="3">
        <v>-13.93</v>
      </c>
      <c r="F212" s="3">
        <v>-47.75</v>
      </c>
      <c r="G212" s="3">
        <v>-29.85</v>
      </c>
      <c r="H212" s="3">
        <v>-1.1100000000000001</v>
      </c>
      <c r="I212" s="3">
        <v>2.12</v>
      </c>
      <c r="J212" s="3">
        <v>4.68</v>
      </c>
      <c r="K212" s="3">
        <v>-70.599999999999994</v>
      </c>
      <c r="L212" s="3">
        <v>-56.08</v>
      </c>
      <c r="M212" s="3">
        <v>-39.630000000000003</v>
      </c>
      <c r="N212" s="3">
        <v>-44.33</v>
      </c>
      <c r="O212" s="3">
        <v>-41.92</v>
      </c>
      <c r="P212" s="3">
        <v>-65.22</v>
      </c>
      <c r="Q212" s="3">
        <v>205</v>
      </c>
      <c r="R212" s="3">
        <v>-101.5</v>
      </c>
      <c r="S212" s="3">
        <v>262.60000000000002</v>
      </c>
      <c r="T212" s="3">
        <v>-78.89</v>
      </c>
      <c r="U212" s="3">
        <v>-137.1</v>
      </c>
      <c r="V212" s="3">
        <v>-137.30000000000001</v>
      </c>
      <c r="W212" s="3">
        <v>-145.30000000000001</v>
      </c>
      <c r="X212" s="3">
        <v>-102.1</v>
      </c>
      <c r="Y212" s="3">
        <v>-130.1</v>
      </c>
      <c r="Z212" s="3">
        <v>-106.3</v>
      </c>
      <c r="AA212" s="3">
        <v>-64.48</v>
      </c>
      <c r="AB212" s="3">
        <v>-43.17</v>
      </c>
      <c r="AC212" s="3">
        <v>-159</v>
      </c>
      <c r="AD212" s="3">
        <v>-235.7</v>
      </c>
    </row>
    <row r="213" spans="1:30" x14ac:dyDescent="0.2">
      <c r="A213" s="42" t="s">
        <v>369</v>
      </c>
      <c r="B213" s="3">
        <v>1.6E-2</v>
      </c>
      <c r="C213" s="3">
        <v>4.4999999999999998E-2</v>
      </c>
      <c r="D213" s="3">
        <v>0.03</v>
      </c>
      <c r="E213" s="3">
        <v>-2E-3</v>
      </c>
      <c r="F213" s="3">
        <v>-0.17499999999999999</v>
      </c>
      <c r="G213" s="3">
        <v>-7.13</v>
      </c>
      <c r="H213" s="3">
        <v>1.77</v>
      </c>
      <c r="I213" s="3">
        <v>0.47199999999999998</v>
      </c>
      <c r="J213" s="3">
        <v>4.3</v>
      </c>
      <c r="K213" s="3">
        <v>1.2</v>
      </c>
      <c r="L213" s="3">
        <v>1.41</v>
      </c>
      <c r="M213" s="3">
        <v>2.9</v>
      </c>
      <c r="N213" s="3">
        <v>0.35899999999999999</v>
      </c>
      <c r="O213" s="3">
        <v>2.4300000000000002</v>
      </c>
      <c r="P213" s="3">
        <v>3.14</v>
      </c>
      <c r="Q213" s="3">
        <v>1.73</v>
      </c>
      <c r="R213" s="3">
        <v>1.29</v>
      </c>
      <c r="S213" s="3">
        <v>2.13</v>
      </c>
      <c r="T213" s="3">
        <v>1.67</v>
      </c>
      <c r="U213" s="3">
        <v>1.47</v>
      </c>
      <c r="V213" s="3">
        <v>1.58</v>
      </c>
      <c r="W213" s="3">
        <v>0.50800000000000001</v>
      </c>
      <c r="X213" s="3">
        <v>-9.49</v>
      </c>
      <c r="Y213" s="3">
        <v>1.7999999999999999E-2</v>
      </c>
      <c r="Z213" s="3">
        <v>0.06</v>
      </c>
      <c r="AA213" s="3">
        <v>0.52</v>
      </c>
      <c r="AB213" s="3">
        <v>-3.0000000000000001E-3</v>
      </c>
      <c r="AC213" s="3">
        <v>1.1100000000000001</v>
      </c>
      <c r="AD213" s="3">
        <v>-5.65</v>
      </c>
    </row>
    <row r="214" spans="1:30" x14ac:dyDescent="0.2">
      <c r="A214" s="42" t="s">
        <v>370</v>
      </c>
      <c r="B214" s="3">
        <v>3.84</v>
      </c>
      <c r="C214" s="3">
        <v>5.7000000000000002E-2</v>
      </c>
      <c r="D214" s="3">
        <v>-4.41</v>
      </c>
      <c r="E214" s="3">
        <v>0.19500000000000001</v>
      </c>
      <c r="F214" s="3">
        <v>4.7300000000000004</v>
      </c>
      <c r="G214" s="3">
        <v>142.9</v>
      </c>
      <c r="H214" s="3">
        <v>1.48</v>
      </c>
      <c r="I214" s="3">
        <v>0.16800000000000001</v>
      </c>
      <c r="J214" s="3">
        <v>4.09</v>
      </c>
      <c r="K214" s="3">
        <v>1.17</v>
      </c>
      <c r="L214" s="3">
        <v>1.29</v>
      </c>
      <c r="M214" s="3">
        <v>-1.23</v>
      </c>
      <c r="N214" s="3">
        <v>0.161</v>
      </c>
      <c r="O214" s="3">
        <v>0.51700000000000002</v>
      </c>
      <c r="P214" s="3">
        <v>0.54300000000000004</v>
      </c>
      <c r="Q214" s="3">
        <v>1.31</v>
      </c>
      <c r="R214" s="3">
        <v>0.98799999999999999</v>
      </c>
      <c r="S214" s="3">
        <v>1.08</v>
      </c>
      <c r="T214" s="3">
        <v>1.57</v>
      </c>
      <c r="U214" s="3">
        <v>1.41</v>
      </c>
      <c r="V214" s="3">
        <v>1.55</v>
      </c>
      <c r="W214" s="3">
        <v>0.47499999999999998</v>
      </c>
      <c r="X214" s="3">
        <v>-8.42</v>
      </c>
      <c r="Y214" s="3">
        <v>-9.6000000000000002E-2</v>
      </c>
      <c r="Z214" s="3">
        <v>8.3000000000000004E-2</v>
      </c>
      <c r="AA214" s="3">
        <v>0.8</v>
      </c>
      <c r="AB214" s="3">
        <v>0.70099999999999996</v>
      </c>
      <c r="AC214" s="3">
        <v>5.23</v>
      </c>
      <c r="AD214" s="3">
        <v>3.28</v>
      </c>
    </row>
  </sheetData>
  <mergeCells count="10">
    <mergeCell ref="B157:AE157"/>
    <mergeCell ref="B165:AE165"/>
    <mergeCell ref="B175:AE175"/>
    <mergeCell ref="B182:AE182"/>
    <mergeCell ref="B187:AE187"/>
    <mergeCell ref="B193:AE193"/>
    <mergeCell ref="A5:A6"/>
    <mergeCell ref="A55:A56"/>
    <mergeCell ref="A105:A106"/>
    <mergeCell ref="A155:A156"/>
  </mergeCells>
  <hyperlinks>
    <hyperlink ref="B7" r:id="rId1" display="https://www.sec.gov/Archives/edgar/data/1050446/000095017025063536/0000950170-25-063536-index.htm" xr:uid="{537A0E69-4D7F-6D44-9597-07FE48251B30}"/>
    <hyperlink ref="C7" r:id="rId2" display="https://www.sec.gov/Archives/edgar/data/1050446/000095017025021814/0000950170-25-021814-index.htm" xr:uid="{9939A489-4832-6249-BD4E-0AB37AB80BE1}"/>
    <hyperlink ref="D7" r:id="rId3" display="https://www.sec.gov/Archives/edgar/data/1050446/000095017024015847/0000950170-24-015847-index.htm" xr:uid="{08D928D0-DD6A-7740-BE1C-123164FC1098}"/>
    <hyperlink ref="E7" r:id="rId4" display="https://www.sec.gov/Archives/edgar/data/1050446/000156459023002012/0001564590-23-002012-index.htm" xr:uid="{7A8E0816-988C-F144-86D2-D06FBF89A621}"/>
    <hyperlink ref="F7" r:id="rId5" display="https://www.sec.gov/Archives/edgar/data/1050446/000156459022005287/0001564590-22-005287-index.htm" xr:uid="{B7168DFF-620E-134A-86DC-B2B13303F10D}"/>
    <hyperlink ref="G7" r:id="rId6" display="https://www.sec.gov/Archives/edgar/data/1050446/000156459021005783/0001564590-21-005783-index.htm" xr:uid="{47C78F37-D31F-924E-8B1C-AC9007B55292}"/>
    <hyperlink ref="H7" r:id="rId7" display="https://www.sec.gov/Archives/edgar/data/1050446/000156459020004679/0001564590-20-004679-index.htm" xr:uid="{8C794367-40CC-4C4F-8D28-ADEA3ED77DB8}"/>
    <hyperlink ref="I7" r:id="rId8" display="https://www.sec.gov/Archives/edgar/data/1050446/000156459019003468/0001564590-19-003468-index.htm" xr:uid="{5343CB3E-4F17-3A4D-A90F-71283EAD7516}"/>
    <hyperlink ref="J7" r:id="rId9" display="https://www.sec.gov/Archives/edgar/data/1050446/000156459018001547/0001564590-18-001547-index.htm" xr:uid="{95F932FE-B5EC-B545-B7C8-FF965E8939B8}"/>
    <hyperlink ref="K7" r:id="rId10" display="https://www.sec.gov/Archives/edgar/data/1050446/000156459017001395/0001564590-17-001395-index.htm" xr:uid="{E098EDB3-1885-1944-BCF8-553E499D58D9}"/>
    <hyperlink ref="L7" r:id="rId11" display="https://www.sec.gov/Archives/edgar/data/1050446/000119312516479811/0001193125-16-479811-index.htm" xr:uid="{FCC55836-E357-D841-B79B-1CB2C60F05DA}"/>
    <hyperlink ref="M7" r:id="rId12" display="https://www.sec.gov/Archives/edgar/data/1050446/000119312515065807/0001193125-15-065807-index.htm" xr:uid="{857C985B-35DD-C447-AFDD-4243B9D0023E}"/>
    <hyperlink ref="N7" r:id="rId13" display="https://www.sec.gov/Archives/edgar/data/1050446/000119312514048295/0001193125-14-048295-index.htm" xr:uid="{D348EE57-860F-6E4E-BFAA-6BE245E3092E}"/>
    <hyperlink ref="O7" r:id="rId14" display="https://www.sec.gov/Archives/edgar/data/1050446/000119312513055763/0001193125-13-055763-index.htm" xr:uid="{894DAB7E-3568-FD44-AAA7-0E6F5FD13823}"/>
    <hyperlink ref="P7" r:id="rId15" display="https://www.sec.gov/Archives/edgar/data/1050446/000119312512067605/0001193125-12-067605-index.htm" xr:uid="{34190D97-8BB2-1E4A-BFF1-A62E88184650}"/>
    <hyperlink ref="Q7" r:id="rId16" display="https://www.sec.gov/Archives/edgar/data/1050446/000119312511040481/0001193125-11-040481-index.htm" xr:uid="{45F7759C-B211-6A45-9D37-EAC34D86C7B9}"/>
    <hyperlink ref="R7" r:id="rId17" display="https://www.sec.gov/Archives/edgar/data/1050446/000119312510038870/0001193125-10-038870-index.htm" xr:uid="{BF98B447-93CD-1741-A760-15FCE0F0B8A2}"/>
    <hyperlink ref="S7" r:id="rId18" display="https://www.sec.gov/Archives/edgar/data/1050446/000119312509035421/0001193125-09-035421-index.htm" xr:uid="{031B6469-8208-5D4B-BDEA-267D255CD96C}"/>
    <hyperlink ref="T7" r:id="rId19" display="https://www.sec.gov/Archives/edgar/data/1050446/000119312508032765/0001193125-08-032765-index.htm" xr:uid="{3027E038-FD84-534E-A545-E58C58058729}"/>
    <hyperlink ref="U7" r:id="rId20" display="https://www.sec.gov/Archives/edgar/data/1050446/000119312507038385/0001193125-07-038385-index.htm" xr:uid="{A73E5D38-A21F-1A40-BE9B-D26219D5D81E}"/>
    <hyperlink ref="V7" r:id="rId21" display="https://www.sec.gov/Archives/edgar/data/1050446/000119312506049859/0001193125-06-049859-index.htm" xr:uid="{87565203-3C45-FA4A-ABB2-77BCF4483337}"/>
    <hyperlink ref="W7" r:id="rId22" display="https://www.sec.gov/Archives/edgar/data/1050446/000119312505051836/0001193125-05-051836-index.htm" xr:uid="{3775C897-FB29-2647-A712-F3B6B3FC029B}"/>
    <hyperlink ref="X7" r:id="rId23" display="https://www.sec.gov/Archives/edgar/data/1050446/000119312504039331/0001193125-04-039331-index.htm" xr:uid="{7C75FC4B-2A76-D845-8CB9-40D49F88D90E}"/>
    <hyperlink ref="Y7" r:id="rId24" display="https://www.sec.gov/Archives/edgar/data/1050446/000095016803000687/0000950168-03-000687-index.htm" xr:uid="{2A525750-2D52-4A43-869D-B4792DD67C8E}"/>
    <hyperlink ref="Z7" r:id="rId25" display="https://www.sec.gov/Archives/edgar/data/1050446/000091664102000466/0000916641-02-000466-index.htm" xr:uid="{F7483A5D-EDBE-7A4F-9979-3225794D46F8}"/>
    <hyperlink ref="AA7" r:id="rId26" display="https://www.sec.gov/Archives/edgar/data/1050446/000091664101500027/0000916641-01-500027-index.htm" xr:uid="{EFF3F5CA-0509-2442-B15A-0A7FE402EC7D}"/>
    <hyperlink ref="AB7" r:id="rId27" display="https://www.sec.gov/Archives/edgar/data/1050446/000092838500001133/0000928385-00-001133-index.html" xr:uid="{E12A4514-4084-A44C-AA23-F2E69CC81CFE}"/>
    <hyperlink ref="AC7" r:id="rId28" display="https://www.sec.gov/Archives/edgar/data/1050446/000092838599000941/0000928385-99-000941-index.html" xr:uid="{F2E9C7AD-5C83-1249-8937-55AD0D6939AA}"/>
    <hyperlink ref="AD7" xr:uid="{2A2A0674-2BF5-F94D-AD7C-BBCCFDEFB813}"/>
    <hyperlink ref="B57" r:id="rId29" display="https://www.sec.gov/Archives/edgar/data/1050446/000095017025021814/0000950170-25-021814-index.htm" xr:uid="{4B089561-76BC-EA40-B40C-3D7DF5B58F7D}"/>
    <hyperlink ref="C57" r:id="rId30" display="https://www.sec.gov/Archives/edgar/data/1050446/000095017024015847/0000950170-24-015847-index.htm" xr:uid="{0AA8DDC9-9CCB-314F-B2F8-E99F0608126F}"/>
    <hyperlink ref="D57" r:id="rId31" display="https://www.sec.gov/Archives/edgar/data/1050446/000156459023002012/0001564590-23-002012-index.htm" xr:uid="{44A12C93-C389-9947-AB8D-E5CD1419600B}"/>
    <hyperlink ref="E57" r:id="rId32" display="https://www.sec.gov/Archives/edgar/data/1050446/000156459022005287/0001564590-22-005287-index.htm" xr:uid="{1C3C9BCC-65AF-4147-9053-D9096F353CFD}"/>
    <hyperlink ref="F57" r:id="rId33" display="https://www.sec.gov/Archives/edgar/data/1050446/000156459021005783/0001564590-21-005783-index.htm" xr:uid="{0B59510C-DDFA-CA42-9DA7-7B5C04A4FFEF}"/>
    <hyperlink ref="G57" r:id="rId34" display="https://www.sec.gov/Archives/edgar/data/1050446/000156459020004679/0001564590-20-004679-index.htm" xr:uid="{316C7767-103E-9446-B755-20908ACFEB9E}"/>
    <hyperlink ref="H57" r:id="rId35" display="https://www.sec.gov/Archives/edgar/data/1050446/000156459019003468/0001564590-19-003468-index.htm" xr:uid="{CB217308-47A2-6E4E-8D3E-EF42DACFBC1C}"/>
    <hyperlink ref="I57" r:id="rId36" display="https://www.sec.gov/Archives/edgar/data/1050446/000156459018001547/0001564590-18-001547-index.htm" xr:uid="{6943BDA7-301B-B74F-8EBA-11D31007254C}"/>
    <hyperlink ref="J57" r:id="rId37" display="https://www.sec.gov/Archives/edgar/data/1050446/000156459017001395/0001564590-17-001395-index.htm" xr:uid="{EDB2986E-53DE-9F4E-9018-F87D83875F89}"/>
    <hyperlink ref="K57" r:id="rId38" display="https://www.sec.gov/Archives/edgar/data/1050446/000119312516479811/0001193125-16-479811-index.htm" xr:uid="{33C865D4-F885-3D40-AB81-9B3577E7611A}"/>
    <hyperlink ref="L57" r:id="rId39" display="https://www.sec.gov/Archives/edgar/data/1050446/000119312515065807/0001193125-15-065807-index.htm" xr:uid="{21A5994E-8B6B-2647-AF11-266BF17F6919}"/>
    <hyperlink ref="M57" r:id="rId40" display="https://www.sec.gov/Archives/edgar/data/1050446/000119312514048295/0001193125-14-048295-index.htm" xr:uid="{B50CB1C6-B32B-F74F-9B42-95429407DB56}"/>
    <hyperlink ref="N57" r:id="rId41" display="https://www.sec.gov/Archives/edgar/data/1050446/000119312513055763/0001193125-13-055763-index.htm" xr:uid="{BC62B7E4-9043-CA4B-8FB6-1C98491FA2B6}"/>
    <hyperlink ref="O57" r:id="rId42" display="https://www.sec.gov/Archives/edgar/data/1050446/000119312512067605/0001193125-12-067605-index.htm" xr:uid="{41CE7BF3-B04C-2840-9797-80D104D1E514}"/>
    <hyperlink ref="P57" r:id="rId43" display="https://www.sec.gov/Archives/edgar/data/1050446/000119312511040481/0001193125-11-040481-index.htm" xr:uid="{0C91AD51-19FB-7544-B652-4A45042E67C5}"/>
    <hyperlink ref="Q57" r:id="rId44" display="https://www.sec.gov/Archives/edgar/data/1050446/000119312510038870/0001193125-10-038870-index.htm" xr:uid="{55EB7F4D-09BC-A842-98B9-905C133508E5}"/>
    <hyperlink ref="R57" r:id="rId45" display="https://www.sec.gov/Archives/edgar/data/1050446/000119312509035421/0001193125-09-035421-index.htm" xr:uid="{E86C600D-3E84-8342-BDE7-D4DEB75CBD9B}"/>
    <hyperlink ref="S57" r:id="rId46" display="https://www.sec.gov/Archives/edgar/data/1050446/000119312508032765/0001193125-08-032765-index.htm" xr:uid="{FC9FAD6B-D4CA-9C46-BAB8-D60066DCE111}"/>
    <hyperlink ref="T57" r:id="rId47" display="https://www.sec.gov/Archives/edgar/data/1050446/000119312507038385/0001193125-07-038385-index.htm" xr:uid="{86AC78C0-865F-3F4C-AF92-E83E1AE21115}"/>
    <hyperlink ref="U57" r:id="rId48" display="https://www.sec.gov/Archives/edgar/data/1050446/000119312506049859/0001193125-06-049859-index.htm" xr:uid="{33743BA4-C2A7-E447-AB1E-684521AB4129}"/>
    <hyperlink ref="V57" r:id="rId49" display="https://www.sec.gov/Archives/edgar/data/1050446/000119312505051836/0001193125-05-051836-index.htm" xr:uid="{7BB9A191-C397-904A-BCB7-B769766E9920}"/>
    <hyperlink ref="W57" r:id="rId50" display="https://www.sec.gov/Archives/edgar/data/1050446/000119312504039331/0001193125-04-039331-index.htm" xr:uid="{466576A2-F836-924F-A8E7-63F583BD64DE}"/>
    <hyperlink ref="X57" r:id="rId51" display="https://www.sec.gov/Archives/edgar/data/1050446/000095016803000687/0000950168-03-000687-index.htm" xr:uid="{94F7E9E6-B01E-3D4A-854F-D36823D931E2}"/>
    <hyperlink ref="Y57" r:id="rId52" display="https://www.sec.gov/Archives/edgar/data/1050446/000091664102000466/0000916641-02-000466-index.htm" xr:uid="{2B4C943A-B608-9D4A-8991-FB197E50C450}"/>
    <hyperlink ref="Z57" r:id="rId53" display="https://www.sec.gov/Archives/edgar/data/1050446/000091664101500027/0000916641-01-500027-index.htm" xr:uid="{2B93004A-AB04-A345-8DE1-71D8083B3998}"/>
    <hyperlink ref="AA57" r:id="rId54" display="https://www.sec.gov/Archives/edgar/data/1050446/000092838500001133/0000928385-00-001133-index.html" xr:uid="{327B2055-2262-3E47-A10A-0304DA9D4CA1}"/>
    <hyperlink ref="AB57" r:id="rId55" display="https://www.sec.gov/Archives/edgar/data/1050446/000092838599000941/0000928385-99-000941-index.html" xr:uid="{74F09421-9EF0-404E-AF75-56C2F1F341B1}"/>
    <hyperlink ref="AC57" xr:uid="{8A546A0D-2040-E640-AF13-F71ECEFA26A7}"/>
    <hyperlink ref="B107" r:id="rId56" display="https://www.sec.gov/Archives/edgar/data/1050446/000095017025063536/0000950170-25-063536-index.htm" xr:uid="{D881731E-495D-2042-8C82-E75B9816FB2B}"/>
    <hyperlink ref="C107" r:id="rId57" display="https://www.sec.gov/Archives/edgar/data/1050446/000095017025021814/0000950170-25-021814-index.htm" xr:uid="{E61B8EA6-127B-FD4C-955E-9D9B2E62DE59}"/>
    <hyperlink ref="D107" r:id="rId58" display="https://www.sec.gov/Archives/edgar/data/1050446/000095017024015847/0000950170-24-015847-index.htm" xr:uid="{C069BF5D-6D3B-444D-B243-ED88D94707FC}"/>
    <hyperlink ref="E107" r:id="rId59" display="https://www.sec.gov/Archives/edgar/data/1050446/000156459023002012/0001564590-23-002012-index.htm" xr:uid="{059BBDC9-1D9F-784A-BD0E-7B3536546D3E}"/>
    <hyperlink ref="F107" r:id="rId60" display="https://www.sec.gov/Archives/edgar/data/1050446/000156459022005287/0001564590-22-005287-index.htm" xr:uid="{5A1F277C-E985-1543-AF29-1F5334BCC29D}"/>
    <hyperlink ref="G107" r:id="rId61" display="https://www.sec.gov/Archives/edgar/data/1050446/000156459021005783/0001564590-21-005783-index.htm" xr:uid="{B0A9B0C1-EBD7-6643-A3F9-ADBA429CF82C}"/>
    <hyperlink ref="H107" r:id="rId62" display="https://www.sec.gov/Archives/edgar/data/1050446/000156459020004679/0001564590-20-004679-index.htm" xr:uid="{7178FE0F-D7E0-D840-9EC3-0A28D542D5B9}"/>
    <hyperlink ref="I107" r:id="rId63" display="https://www.sec.gov/Archives/edgar/data/1050446/000156459019003468/0001564590-19-003468-index.htm" xr:uid="{FC1FBC2E-1CFC-8E4D-8919-9BD73247F727}"/>
    <hyperlink ref="J107" r:id="rId64" display="https://www.sec.gov/Archives/edgar/data/1050446/000156459018001547/0001564590-18-001547-index.htm" xr:uid="{AB9B4FCA-5121-914A-BDCB-2530E3AE9B9F}"/>
    <hyperlink ref="K107" r:id="rId65" display="https://www.sec.gov/Archives/edgar/data/1050446/000156459017001395/0001564590-17-001395-index.htm" xr:uid="{FC723DE2-5C25-724C-8C92-1AF905EF4A86}"/>
    <hyperlink ref="L107" r:id="rId66" display="https://www.sec.gov/Archives/edgar/data/1050446/000119312516479811/0001193125-16-479811-index.htm" xr:uid="{4EC79957-04F3-BC40-A400-492928CFEDB3}"/>
    <hyperlink ref="M107" r:id="rId67" display="https://www.sec.gov/Archives/edgar/data/1050446/000119312515065807/0001193125-15-065807-index.htm" xr:uid="{829B9E49-50CE-D94F-B899-49A3031C0BC8}"/>
    <hyperlink ref="N107" r:id="rId68" display="https://www.sec.gov/Archives/edgar/data/1050446/000119312514048295/0001193125-14-048295-index.htm" xr:uid="{F016035C-CBF9-D241-912A-4D10A6A0A29E}"/>
    <hyperlink ref="O107" r:id="rId69" display="https://www.sec.gov/Archives/edgar/data/1050446/000119312513055763/0001193125-13-055763-index.htm" xr:uid="{A961F02A-2DFA-2640-A617-9C735C1D7336}"/>
    <hyperlink ref="P107" r:id="rId70" display="https://www.sec.gov/Archives/edgar/data/1050446/000119312512067605/0001193125-12-067605-index.htm" xr:uid="{93A833DF-3D34-654C-BA3D-29DD13F220AE}"/>
    <hyperlink ref="Q107" r:id="rId71" display="https://www.sec.gov/Archives/edgar/data/1050446/000119312511040481/0001193125-11-040481-index.htm" xr:uid="{A9C0D8B2-DA6D-3B49-BE9D-424B81C3E2D3}"/>
    <hyperlink ref="R107" r:id="rId72" display="https://www.sec.gov/Archives/edgar/data/1050446/000119312510038870/0001193125-10-038870-index.htm" xr:uid="{42ABB976-5D42-6045-9A63-543C79CC0F7B}"/>
    <hyperlink ref="S107" r:id="rId73" display="https://www.sec.gov/Archives/edgar/data/1050446/000119312509035421/0001193125-09-035421-index.htm" xr:uid="{5F07BEE8-83D7-354D-B9B9-46C89E686C2F}"/>
    <hyperlink ref="T107" r:id="rId74" display="https://www.sec.gov/Archives/edgar/data/1050446/000119312508032765/0001193125-08-032765-index.htm" xr:uid="{E5C78E1A-084C-2B45-98F7-7077D34057FC}"/>
    <hyperlink ref="U107" r:id="rId75" display="https://www.sec.gov/Archives/edgar/data/1050446/000119312507038385/0001193125-07-038385-index.htm" xr:uid="{7CFD2D01-C66A-C140-8F8B-826D790F5209}"/>
    <hyperlink ref="V107" r:id="rId76" display="https://www.sec.gov/Archives/edgar/data/1050446/000119312506049859/0001193125-06-049859-index.htm" xr:uid="{BF40B10E-EA33-A74C-8BDA-FF3E052DFA1D}"/>
    <hyperlink ref="W107" r:id="rId77" display="https://www.sec.gov/Archives/edgar/data/1050446/000119312505051836/0001193125-05-051836-index.htm" xr:uid="{EC84E903-F593-1C46-99AB-CE3B2AF45DCE}"/>
    <hyperlink ref="X107" r:id="rId78" display="https://www.sec.gov/Archives/edgar/data/1050446/000119312504039331/0001193125-04-039331-index.htm" xr:uid="{7A981C76-F3EE-6E4A-BD57-EE0651F313D0}"/>
    <hyperlink ref="Y107" r:id="rId79" display="https://www.sec.gov/Archives/edgar/data/1050446/000095016803000687/0000950168-03-000687-index.htm" xr:uid="{05E1CDAC-06DC-F94E-81F7-1BCA705A4357}"/>
    <hyperlink ref="Z107" r:id="rId80" display="https://www.sec.gov/Archives/edgar/data/1050446/000091664102000466/0000916641-02-000466-index.htm" xr:uid="{B93CF5F4-52A7-FD4B-9CEB-C839A6FB95A9}"/>
    <hyperlink ref="AA107" r:id="rId81" display="https://www.sec.gov/Archives/edgar/data/1050446/000091664101500027/0000916641-01-500027-index.htm" xr:uid="{CB7974EE-E7C6-F449-ABAA-A41181E1A2B3}"/>
    <hyperlink ref="AB107" r:id="rId82" display="https://www.sec.gov/Archives/edgar/data/1050446/000092838500001133/0000928385-00-001133-index.html" xr:uid="{121E3092-D733-6F41-9446-9F2604C33DE8}"/>
    <hyperlink ref="AC107" r:id="rId83" display="https://www.sec.gov/Archives/edgar/data/1050446/000092838599000941/0000928385-99-000941-index.html" xr:uid="{7A1E29F8-8F43-5846-945E-35FC3F39B2FA}"/>
    <hyperlink ref="AD107" xr:uid="{474D14C3-C134-9B45-9D43-BC280E725F39}"/>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4E0B0-61D0-8945-A971-7AF81C23096E}">
  <sheetPr codeName="Sheet6">
    <tabColor theme="2" tint="-0.249977111117893"/>
  </sheetPr>
  <dimension ref="A5:W200"/>
  <sheetViews>
    <sheetView topLeftCell="A2" zoomScale="112" workbookViewId="0">
      <selection activeCell="A35" sqref="A35"/>
    </sheetView>
  </sheetViews>
  <sheetFormatPr baseColWidth="10" defaultRowHeight="16" x14ac:dyDescent="0.2"/>
  <cols>
    <col min="1" max="1" width="25.1640625" bestFit="1" customWidth="1"/>
    <col min="2" max="2" width="15.5" bestFit="1" customWidth="1"/>
    <col min="3" max="3" width="15.1640625" bestFit="1" customWidth="1"/>
    <col min="4" max="5" width="15.5" bestFit="1" customWidth="1"/>
    <col min="6" max="6" width="14.83203125" bestFit="1" customWidth="1"/>
    <col min="7" max="7" width="15.1640625" bestFit="1" customWidth="1"/>
    <col min="8" max="9" width="15.5" bestFit="1" customWidth="1"/>
    <col min="10" max="10" width="14.83203125" bestFit="1" customWidth="1"/>
    <col min="11" max="11" width="15.1640625" bestFit="1" customWidth="1"/>
    <col min="12" max="13" width="15.5" bestFit="1" customWidth="1"/>
    <col min="14" max="14" width="14.83203125" bestFit="1" customWidth="1"/>
    <col min="15" max="15" width="15.1640625" bestFit="1" customWidth="1"/>
    <col min="16" max="17" width="15.5" bestFit="1" customWidth="1"/>
    <col min="18" max="18" width="14.83203125" bestFit="1" customWidth="1"/>
    <col min="19" max="19" width="15.1640625" bestFit="1" customWidth="1"/>
    <col min="20" max="21" width="15.5" bestFit="1" customWidth="1"/>
    <col min="22" max="22" width="14.83203125" bestFit="1" customWidth="1"/>
    <col min="23" max="23" width="10.1640625" bestFit="1" customWidth="1"/>
    <col min="24" max="24" width="15.33203125" bestFit="1" customWidth="1"/>
    <col min="25" max="25" width="15" bestFit="1" customWidth="1"/>
    <col min="26" max="26" width="14.33203125" bestFit="1" customWidth="1"/>
    <col min="27" max="27" width="15" bestFit="1" customWidth="1"/>
    <col min="28" max="28" width="15.33203125" bestFit="1" customWidth="1"/>
    <col min="29" max="29" width="15" bestFit="1" customWidth="1"/>
    <col min="30" max="30" width="14.33203125" bestFit="1" customWidth="1"/>
    <col min="31" max="31" width="15" bestFit="1" customWidth="1"/>
    <col min="32" max="32" width="15.33203125" bestFit="1" customWidth="1"/>
    <col min="33" max="33" width="15" bestFit="1" customWidth="1"/>
    <col min="34" max="34" width="14.33203125" bestFit="1" customWidth="1"/>
    <col min="35" max="35" width="15" bestFit="1" customWidth="1"/>
    <col min="36" max="36" width="15.33203125" bestFit="1" customWidth="1"/>
    <col min="37" max="37" width="15" bestFit="1" customWidth="1"/>
    <col min="38" max="38" width="14.33203125" bestFit="1" customWidth="1"/>
    <col min="39" max="39" width="15" bestFit="1" customWidth="1"/>
    <col min="40" max="40" width="15.33203125" bestFit="1" customWidth="1"/>
    <col min="41" max="41" width="15" bestFit="1" customWidth="1"/>
    <col min="42" max="42" width="14.33203125" bestFit="1" customWidth="1"/>
    <col min="43" max="43" width="15" bestFit="1" customWidth="1"/>
    <col min="44" max="44" width="10" customWidth="1"/>
    <col min="45" max="45" width="27.1640625" bestFit="1" customWidth="1"/>
    <col min="46" max="46" width="15.33203125" bestFit="1" customWidth="1"/>
    <col min="47" max="47" width="15" bestFit="1" customWidth="1"/>
    <col min="48" max="48" width="14.33203125" bestFit="1" customWidth="1"/>
    <col min="49" max="49" width="15" bestFit="1" customWidth="1"/>
    <col min="50" max="50" width="15.33203125" bestFit="1" customWidth="1"/>
    <col min="51" max="51" width="15" bestFit="1" customWidth="1"/>
    <col min="52" max="52" width="14.33203125" bestFit="1" customWidth="1"/>
    <col min="53" max="53" width="15" bestFit="1" customWidth="1"/>
    <col min="54" max="54" width="15.33203125" bestFit="1" customWidth="1"/>
    <col min="55" max="55" width="15" bestFit="1" customWidth="1"/>
    <col min="56" max="56" width="14.33203125" bestFit="1" customWidth="1"/>
    <col min="57" max="57" width="15" bestFit="1" customWidth="1"/>
    <col min="58" max="58" width="15.33203125" bestFit="1" customWidth="1"/>
    <col min="59" max="59" width="15" bestFit="1" customWidth="1"/>
    <col min="60" max="60" width="14.33203125" bestFit="1" customWidth="1"/>
    <col min="61" max="61" width="15" bestFit="1" customWidth="1"/>
    <col min="62" max="62" width="15.33203125" bestFit="1" customWidth="1"/>
    <col min="63" max="63" width="15" bestFit="1" customWidth="1"/>
    <col min="64" max="64" width="14.33203125" bestFit="1" customWidth="1"/>
    <col min="65" max="65" width="15" bestFit="1" customWidth="1"/>
    <col min="66" max="66" width="10" customWidth="1"/>
    <col min="67" max="67" width="26.1640625" bestFit="1" customWidth="1"/>
    <col min="68" max="68" width="15.33203125" bestFit="1" customWidth="1"/>
    <col min="69" max="69" width="15" bestFit="1" customWidth="1"/>
    <col min="70" max="70" width="14.33203125" bestFit="1" customWidth="1"/>
    <col min="71" max="71" width="15" bestFit="1" customWidth="1"/>
    <col min="72" max="72" width="15.33203125" bestFit="1" customWidth="1"/>
    <col min="73" max="73" width="15" bestFit="1" customWidth="1"/>
    <col min="74" max="74" width="14.33203125" bestFit="1" customWidth="1"/>
    <col min="75" max="75" width="15" bestFit="1" customWidth="1"/>
    <col min="76" max="76" width="15.33203125" bestFit="1" customWidth="1"/>
    <col min="77" max="77" width="15" bestFit="1" customWidth="1"/>
    <col min="78" max="78" width="14.33203125" bestFit="1" customWidth="1"/>
    <col min="79" max="79" width="15" bestFit="1" customWidth="1"/>
    <col min="80" max="80" width="15.33203125" bestFit="1" customWidth="1"/>
    <col min="81" max="81" width="15" bestFit="1" customWidth="1"/>
    <col min="82" max="82" width="14.33203125" bestFit="1" customWidth="1"/>
    <col min="83" max="83" width="15" bestFit="1" customWidth="1"/>
    <col min="84" max="84" width="15.33203125" bestFit="1" customWidth="1"/>
    <col min="85" max="85" width="15" bestFit="1" customWidth="1"/>
    <col min="86" max="86" width="14.33203125" bestFit="1" customWidth="1"/>
    <col min="87" max="87" width="15" bestFit="1" customWidth="1"/>
    <col min="88" max="88" width="10" bestFit="1" customWidth="1"/>
    <col min="89" max="89" width="24.33203125" bestFit="1" customWidth="1"/>
    <col min="90" max="90" width="15.33203125" bestFit="1" customWidth="1"/>
    <col min="91" max="91" width="15" bestFit="1" customWidth="1"/>
    <col min="92" max="92" width="14.33203125" bestFit="1" customWidth="1"/>
    <col min="93" max="93" width="15" bestFit="1" customWidth="1"/>
    <col min="94" max="94" width="15.33203125" bestFit="1" customWidth="1"/>
    <col min="95" max="95" width="15" bestFit="1" customWidth="1"/>
    <col min="96" max="96" width="14.33203125" bestFit="1" customWidth="1"/>
    <col min="97" max="97" width="15" bestFit="1" customWidth="1"/>
    <col min="98" max="98" width="15.33203125" bestFit="1" customWidth="1"/>
    <col min="99" max="99" width="15" bestFit="1" customWidth="1"/>
    <col min="100" max="100" width="14.33203125" bestFit="1" customWidth="1"/>
    <col min="101" max="101" width="15" bestFit="1" customWidth="1"/>
    <col min="102" max="102" width="15.33203125" bestFit="1" customWidth="1"/>
    <col min="103" max="103" width="15" bestFit="1" customWidth="1"/>
    <col min="104" max="104" width="14.33203125" bestFit="1" customWidth="1"/>
    <col min="105" max="105" width="15" bestFit="1" customWidth="1"/>
    <col min="106" max="106" width="15.33203125" bestFit="1" customWidth="1"/>
    <col min="107" max="107" width="15" bestFit="1" customWidth="1"/>
    <col min="108" max="108" width="14.33203125" bestFit="1" customWidth="1"/>
    <col min="109" max="109" width="15" bestFit="1" customWidth="1"/>
    <col min="110" max="110" width="10" bestFit="1" customWidth="1"/>
    <col min="111" max="111" width="28.1640625" bestFit="1" customWidth="1"/>
    <col min="112" max="112" width="15.33203125" bestFit="1" customWidth="1"/>
    <col min="113" max="113" width="15" bestFit="1" customWidth="1"/>
    <col min="114" max="114" width="14.33203125" bestFit="1" customWidth="1"/>
    <col min="115" max="115" width="15" bestFit="1" customWidth="1"/>
    <col min="116" max="116" width="15.33203125" bestFit="1" customWidth="1"/>
    <col min="117" max="117" width="15" bestFit="1" customWidth="1"/>
    <col min="118" max="118" width="14.33203125" bestFit="1" customWidth="1"/>
    <col min="119" max="119" width="15" bestFit="1" customWidth="1"/>
    <col min="120" max="120" width="15.33203125" bestFit="1" customWidth="1"/>
    <col min="121" max="121" width="15" bestFit="1" customWidth="1"/>
    <col min="122" max="122" width="14.33203125" bestFit="1" customWidth="1"/>
    <col min="123" max="123" width="15" bestFit="1" customWidth="1"/>
    <col min="124" max="124" width="15.33203125" bestFit="1" customWidth="1"/>
    <col min="125" max="125" width="15" bestFit="1" customWidth="1"/>
    <col min="126" max="126" width="14.33203125" bestFit="1" customWidth="1"/>
    <col min="127" max="127" width="15" bestFit="1" customWidth="1"/>
    <col min="128" max="128" width="15.33203125" bestFit="1" customWidth="1"/>
    <col min="129" max="129" width="15" bestFit="1" customWidth="1"/>
    <col min="130" max="130" width="14.33203125" bestFit="1" customWidth="1"/>
    <col min="131" max="131" width="15" bestFit="1" customWidth="1"/>
    <col min="132" max="132" width="10" bestFit="1" customWidth="1"/>
  </cols>
  <sheetData>
    <row r="5" spans="1:22" x14ac:dyDescent="0.2">
      <c r="A5" s="1" t="s">
        <v>100</v>
      </c>
      <c r="B5" s="1" t="s">
        <v>490</v>
      </c>
      <c r="C5" s="1" t="s">
        <v>484</v>
      </c>
      <c r="D5" s="1" t="s">
        <v>485</v>
      </c>
      <c r="E5" s="1" t="s">
        <v>432</v>
      </c>
      <c r="F5" s="1" t="s">
        <v>101</v>
      </c>
      <c r="G5" s="1" t="s">
        <v>102</v>
      </c>
      <c r="H5" s="1" t="s">
        <v>180</v>
      </c>
      <c r="I5" s="1" t="s">
        <v>181</v>
      </c>
      <c r="J5" s="1" t="s">
        <v>103</v>
      </c>
      <c r="K5" s="1" t="s">
        <v>182</v>
      </c>
      <c r="L5" s="1" t="s">
        <v>183</v>
      </c>
      <c r="M5" s="1" t="s">
        <v>184</v>
      </c>
      <c r="N5" s="1" t="s">
        <v>104</v>
      </c>
      <c r="O5" s="1" t="s">
        <v>185</v>
      </c>
      <c r="P5" s="1" t="s">
        <v>186</v>
      </c>
      <c r="Q5" s="1" t="s">
        <v>187</v>
      </c>
      <c r="R5" s="1" t="s">
        <v>105</v>
      </c>
      <c r="S5" s="1" t="s">
        <v>188</v>
      </c>
      <c r="T5" s="1" t="s">
        <v>189</v>
      </c>
      <c r="U5" s="1" t="s">
        <v>190</v>
      </c>
      <c r="V5" s="1" t="s">
        <v>476</v>
      </c>
    </row>
    <row r="6" spans="1:22" x14ac:dyDescent="0.2">
      <c r="A6" s="1" t="s">
        <v>10</v>
      </c>
      <c r="B6" s="1" t="s">
        <v>433</v>
      </c>
      <c r="C6" s="1" t="s">
        <v>413</v>
      </c>
      <c r="D6" s="1" t="s">
        <v>414</v>
      </c>
      <c r="E6" s="1" t="s">
        <v>405</v>
      </c>
      <c r="F6" s="1" t="s">
        <v>406</v>
      </c>
      <c r="G6" s="1" t="s">
        <v>404</v>
      </c>
      <c r="H6" s="1" t="s">
        <v>415</v>
      </c>
      <c r="I6" s="1" t="s">
        <v>408</v>
      </c>
      <c r="J6" s="1" t="s">
        <v>416</v>
      </c>
      <c r="K6" s="1" t="s">
        <v>417</v>
      </c>
      <c r="L6" s="1" t="s">
        <v>418</v>
      </c>
      <c r="M6" s="1" t="s">
        <v>409</v>
      </c>
      <c r="N6" s="1" t="s">
        <v>419</v>
      </c>
      <c r="O6" s="1" t="s">
        <v>420</v>
      </c>
      <c r="P6" s="1" t="s">
        <v>421</v>
      </c>
      <c r="Q6" s="1" t="s">
        <v>410</v>
      </c>
      <c r="R6" s="1" t="s">
        <v>422</v>
      </c>
      <c r="S6" s="1" t="s">
        <v>423</v>
      </c>
      <c r="T6" s="1" t="s">
        <v>424</v>
      </c>
      <c r="U6" s="1" t="s">
        <v>411</v>
      </c>
      <c r="V6" s="1" t="s">
        <v>476</v>
      </c>
    </row>
    <row r="7" spans="1:22" ht="17" x14ac:dyDescent="0.2">
      <c r="A7" s="12" t="s">
        <v>32</v>
      </c>
      <c r="B7" s="3">
        <v>246.89</v>
      </c>
      <c r="C7" s="3">
        <v>234.14</v>
      </c>
      <c r="D7" s="3">
        <v>242.27</v>
      </c>
      <c r="E7" s="3">
        <v>239.73</v>
      </c>
      <c r="F7" s="3">
        <v>265.5</v>
      </c>
      <c r="G7" s="3">
        <v>254.14</v>
      </c>
      <c r="H7" s="3">
        <v>258.39999999999998</v>
      </c>
      <c r="I7" s="3">
        <v>235.49</v>
      </c>
      <c r="J7" s="3">
        <v>253.84</v>
      </c>
      <c r="K7" s="3">
        <v>230.37</v>
      </c>
      <c r="L7" s="3">
        <v>231.74</v>
      </c>
      <c r="M7" s="3">
        <v>220.29</v>
      </c>
      <c r="N7" s="3">
        <v>253.37</v>
      </c>
      <c r="O7" s="3">
        <v>216.09</v>
      </c>
      <c r="P7" s="3">
        <v>223.64</v>
      </c>
      <c r="Q7" s="3">
        <v>213.46</v>
      </c>
      <c r="R7" s="3">
        <v>186.24</v>
      </c>
      <c r="S7" s="3">
        <v>166.55</v>
      </c>
      <c r="T7" s="3">
        <v>157.79</v>
      </c>
      <c r="U7" s="3">
        <v>139.07</v>
      </c>
      <c r="V7" s="3" t="s">
        <v>65</v>
      </c>
    </row>
    <row r="8" spans="1:22" x14ac:dyDescent="0.2">
      <c r="A8" s="3" t="s">
        <v>191</v>
      </c>
      <c r="B8" s="5">
        <v>-7.0099999999999996E-2</v>
      </c>
      <c r="C8" s="5">
        <v>-7.8700000000000006E-2</v>
      </c>
      <c r="D8" s="5">
        <v>-6.2399999999999997E-2</v>
      </c>
      <c r="E8" s="5">
        <v>1.7999999999999999E-2</v>
      </c>
      <c r="F8" s="5">
        <v>4.5900000000000003E-2</v>
      </c>
      <c r="G8" s="5">
        <v>0.1032</v>
      </c>
      <c r="H8" s="5">
        <v>0.115</v>
      </c>
      <c r="I8" s="5">
        <v>6.9000000000000006E-2</v>
      </c>
      <c r="J8" s="5">
        <v>1.9E-3</v>
      </c>
      <c r="K8" s="5">
        <v>6.6100000000000006E-2</v>
      </c>
      <c r="L8" s="5">
        <v>3.6200000000000003E-2</v>
      </c>
      <c r="M8" s="5">
        <v>3.2000000000000001E-2</v>
      </c>
      <c r="N8" s="5">
        <v>0.36049999999999999</v>
      </c>
      <c r="O8" s="5">
        <v>0.29749999999999999</v>
      </c>
      <c r="P8" s="5">
        <v>0.4173</v>
      </c>
      <c r="Q8" s="5">
        <v>0.53490000000000004</v>
      </c>
      <c r="R8" s="5">
        <v>-1.72E-2</v>
      </c>
      <c r="S8" s="5">
        <v>-0.1646</v>
      </c>
      <c r="T8" s="5">
        <v>-0.24</v>
      </c>
      <c r="U8" s="5">
        <v>-0.34620000000000001</v>
      </c>
      <c r="V8" s="3" t="s">
        <v>65</v>
      </c>
    </row>
    <row r="9" spans="1:22" x14ac:dyDescent="0.2">
      <c r="A9" s="3" t="s">
        <v>106</v>
      </c>
      <c r="B9" s="3">
        <v>162.96</v>
      </c>
      <c r="C9" s="3">
        <v>143.25</v>
      </c>
      <c r="D9" s="3">
        <v>167.46</v>
      </c>
      <c r="E9" s="3">
        <v>150.69999999999999</v>
      </c>
      <c r="F9" s="3">
        <v>171.62</v>
      </c>
      <c r="G9" s="3">
        <v>160.25</v>
      </c>
      <c r="H9" s="3">
        <v>158.41999999999999</v>
      </c>
      <c r="I9" s="3">
        <v>148.65</v>
      </c>
      <c r="J9" s="3">
        <v>162.63</v>
      </c>
      <c r="K9" s="3">
        <v>148.33000000000001</v>
      </c>
      <c r="L9" s="3">
        <v>145.43</v>
      </c>
      <c r="M9" s="3">
        <v>137.77000000000001</v>
      </c>
      <c r="N9" s="3">
        <v>167.89</v>
      </c>
      <c r="O9" s="3">
        <v>140.34</v>
      </c>
      <c r="P9" s="3">
        <v>141.59</v>
      </c>
      <c r="Q9" s="3">
        <v>135.9</v>
      </c>
      <c r="R9" s="3">
        <v>120.02</v>
      </c>
      <c r="S9" s="3">
        <v>110.98</v>
      </c>
      <c r="T9" s="3">
        <v>101.27</v>
      </c>
      <c r="U9" s="3">
        <v>92.02</v>
      </c>
      <c r="V9" s="3" t="s">
        <v>65</v>
      </c>
    </row>
    <row r="10" spans="1:22" x14ac:dyDescent="0.2">
      <c r="A10" s="3" t="s">
        <v>1</v>
      </c>
      <c r="B10" s="3">
        <v>83.93</v>
      </c>
      <c r="C10" s="3">
        <v>90.88</v>
      </c>
      <c r="D10" s="3">
        <v>74.819999999999993</v>
      </c>
      <c r="E10" s="3">
        <v>89.03</v>
      </c>
      <c r="F10" s="3">
        <v>93.88</v>
      </c>
      <c r="G10" s="3">
        <v>93.9</v>
      </c>
      <c r="H10" s="3">
        <v>99.98</v>
      </c>
      <c r="I10" s="3">
        <v>86.85</v>
      </c>
      <c r="J10" s="3">
        <v>91.22</v>
      </c>
      <c r="K10" s="3">
        <v>82.04</v>
      </c>
      <c r="L10" s="3">
        <v>86.31</v>
      </c>
      <c r="M10" s="3">
        <v>82.52</v>
      </c>
      <c r="N10" s="3">
        <v>85.48</v>
      </c>
      <c r="O10" s="3">
        <v>75.75</v>
      </c>
      <c r="P10" s="3">
        <v>82.05</v>
      </c>
      <c r="Q10" s="3">
        <v>77.569999999999993</v>
      </c>
      <c r="R10" s="3">
        <v>66.22</v>
      </c>
      <c r="S10" s="3">
        <v>55.57</v>
      </c>
      <c r="T10" s="3">
        <v>56.52</v>
      </c>
      <c r="U10" s="3">
        <v>47.05</v>
      </c>
      <c r="V10" s="3" t="s">
        <v>65</v>
      </c>
    </row>
    <row r="11" spans="1:22" x14ac:dyDescent="0.2">
      <c r="A11" s="3" t="s">
        <v>107</v>
      </c>
      <c r="B11" s="3">
        <v>61.21</v>
      </c>
      <c r="C11" s="3">
        <v>52.47</v>
      </c>
      <c r="D11" s="3">
        <v>74.36</v>
      </c>
      <c r="E11" s="3">
        <v>55.05</v>
      </c>
      <c r="F11" s="3">
        <v>52.54</v>
      </c>
      <c r="G11" s="3">
        <v>57.95</v>
      </c>
      <c r="H11" s="3">
        <v>53.23</v>
      </c>
      <c r="I11" s="3">
        <v>50.39</v>
      </c>
      <c r="J11" s="3">
        <v>51.9</v>
      </c>
      <c r="K11" s="3">
        <v>49.67</v>
      </c>
      <c r="L11" s="3">
        <v>47.35</v>
      </c>
      <c r="M11" s="3">
        <v>48.4</v>
      </c>
      <c r="N11" s="3">
        <v>51.24</v>
      </c>
      <c r="O11" s="3">
        <v>48.97</v>
      </c>
      <c r="P11" s="3">
        <v>46.34</v>
      </c>
      <c r="Q11" s="3">
        <v>44.61</v>
      </c>
      <c r="R11" s="3">
        <v>42.64</v>
      </c>
      <c r="S11" s="3">
        <v>39.1</v>
      </c>
      <c r="T11" s="3">
        <v>34.659999999999997</v>
      </c>
      <c r="U11" s="3">
        <v>37.64</v>
      </c>
      <c r="V11" s="3" t="s">
        <v>65</v>
      </c>
    </row>
    <row r="12" spans="1:22" x14ac:dyDescent="0.2">
      <c r="A12" s="3" t="s">
        <v>219</v>
      </c>
      <c r="B12" s="3">
        <v>6.28</v>
      </c>
      <c r="C12" s="3">
        <v>5.33</v>
      </c>
      <c r="D12" s="3">
        <v>6.1</v>
      </c>
      <c r="E12" s="3">
        <v>6.17</v>
      </c>
      <c r="F12" s="3">
        <v>7.06</v>
      </c>
      <c r="G12" s="3">
        <v>6.69</v>
      </c>
      <c r="H12" s="3">
        <v>6.54</v>
      </c>
      <c r="I12" s="3">
        <v>5.9</v>
      </c>
      <c r="J12" s="3">
        <v>5.51</v>
      </c>
      <c r="K12" s="3">
        <v>4.84</v>
      </c>
      <c r="L12" s="3">
        <v>5.46</v>
      </c>
      <c r="M12" s="3">
        <v>5.13</v>
      </c>
      <c r="N12" s="3">
        <v>4.07</v>
      </c>
      <c r="O12" s="3">
        <v>3.88</v>
      </c>
      <c r="P12" s="3">
        <v>3.83</v>
      </c>
      <c r="Q12" s="3">
        <v>3.56</v>
      </c>
      <c r="R12" s="3">
        <v>3.7</v>
      </c>
      <c r="S12" s="3">
        <v>3.04</v>
      </c>
      <c r="T12" s="3">
        <v>2.9</v>
      </c>
      <c r="U12" s="3">
        <v>2.77</v>
      </c>
      <c r="V12" s="3" t="s">
        <v>65</v>
      </c>
    </row>
    <row r="13" spans="1:22" x14ac:dyDescent="0.2">
      <c r="A13" s="3" t="s">
        <v>108</v>
      </c>
      <c r="B13" s="3">
        <v>74.88</v>
      </c>
      <c r="C13" s="3">
        <v>65.3</v>
      </c>
      <c r="D13" s="3">
        <v>88.01</v>
      </c>
      <c r="E13" s="3">
        <v>68.72</v>
      </c>
      <c r="F13" s="3">
        <v>67.12</v>
      </c>
      <c r="G13" s="3">
        <v>72.13</v>
      </c>
      <c r="H13" s="3">
        <v>67.28</v>
      </c>
      <c r="I13" s="3">
        <v>63.17</v>
      </c>
      <c r="J13" s="3">
        <v>63.97</v>
      </c>
      <c r="K13" s="3">
        <v>60.97</v>
      </c>
      <c r="L13" s="3">
        <v>59.26</v>
      </c>
      <c r="M13" s="3">
        <v>60.07</v>
      </c>
      <c r="N13" s="3">
        <v>61.95</v>
      </c>
      <c r="O13" s="3">
        <v>59.1</v>
      </c>
      <c r="P13" s="3">
        <v>56.45</v>
      </c>
      <c r="Q13" s="3">
        <v>54.28</v>
      </c>
      <c r="R13" s="3">
        <v>49.52</v>
      </c>
      <c r="S13" s="3">
        <v>45.28</v>
      </c>
      <c r="T13" s="3">
        <v>40.74</v>
      </c>
      <c r="U13" s="3">
        <v>43.53</v>
      </c>
      <c r="V13" s="3" t="s">
        <v>65</v>
      </c>
    </row>
    <row r="14" spans="1:22" x14ac:dyDescent="0.2">
      <c r="A14" s="3" t="s">
        <v>109</v>
      </c>
      <c r="B14" s="3">
        <v>9.0500000000000007</v>
      </c>
      <c r="C14" s="3">
        <v>25.59</v>
      </c>
      <c r="D14" s="3">
        <v>-13.19</v>
      </c>
      <c r="E14" s="3">
        <v>20.309999999999999</v>
      </c>
      <c r="F14" s="3">
        <v>26.76</v>
      </c>
      <c r="G14" s="3">
        <v>21.77</v>
      </c>
      <c r="H14" s="3">
        <v>32.69</v>
      </c>
      <c r="I14" s="3">
        <v>23.68</v>
      </c>
      <c r="J14" s="3">
        <v>27.25</v>
      </c>
      <c r="K14" s="3">
        <v>21.08</v>
      </c>
      <c r="L14" s="3">
        <v>27.05</v>
      </c>
      <c r="M14" s="3">
        <v>22.45</v>
      </c>
      <c r="N14" s="3">
        <v>23.53</v>
      </c>
      <c r="O14" s="3">
        <v>16.649999999999999</v>
      </c>
      <c r="P14" s="3">
        <v>25.6</v>
      </c>
      <c r="Q14" s="3">
        <v>23.28</v>
      </c>
      <c r="R14" s="3">
        <v>16.7</v>
      </c>
      <c r="S14" s="3">
        <v>10.29</v>
      </c>
      <c r="T14" s="3">
        <v>15.78</v>
      </c>
      <c r="U14" s="3">
        <v>3.53</v>
      </c>
      <c r="V14" s="3" t="s">
        <v>65</v>
      </c>
    </row>
    <row r="15" spans="1:22" x14ac:dyDescent="0.2">
      <c r="A15" s="3" t="s">
        <v>110</v>
      </c>
      <c r="B15" s="3">
        <v>-8.14</v>
      </c>
      <c r="C15" s="3">
        <v>-7.7</v>
      </c>
      <c r="D15" s="3">
        <v>-8.35</v>
      </c>
      <c r="E15" s="3">
        <v>-8.24</v>
      </c>
      <c r="F15" s="3">
        <v>-9.17</v>
      </c>
      <c r="G15" s="3">
        <v>-9.9499999999999993</v>
      </c>
      <c r="H15" s="3">
        <v>-10.210000000000001</v>
      </c>
      <c r="I15" s="3">
        <v>-8.6300000000000008</v>
      </c>
      <c r="J15" s="3">
        <v>-7.67</v>
      </c>
      <c r="K15" s="3">
        <v>-7.3</v>
      </c>
      <c r="L15" s="3">
        <v>-6.77</v>
      </c>
      <c r="M15" s="3">
        <v>-6.2</v>
      </c>
      <c r="N15" s="3">
        <v>-5.93</v>
      </c>
      <c r="O15" s="3">
        <v>-4.38</v>
      </c>
      <c r="P15" s="3">
        <v>-4.59</v>
      </c>
      <c r="Q15" s="3">
        <v>-5.81</v>
      </c>
      <c r="R15" s="3">
        <v>-2.89</v>
      </c>
      <c r="S15" s="3">
        <v>-2.99</v>
      </c>
      <c r="T15" s="3">
        <v>-3.02</v>
      </c>
      <c r="U15" s="3">
        <v>-3.19</v>
      </c>
      <c r="V15" s="3" t="s">
        <v>65</v>
      </c>
    </row>
    <row r="16" spans="1:22" x14ac:dyDescent="0.2">
      <c r="A16" s="3" t="s">
        <v>111</v>
      </c>
      <c r="B16" s="3">
        <v>0.43</v>
      </c>
      <c r="C16" s="3">
        <v>0.05</v>
      </c>
      <c r="D16" s="3">
        <v>0.61</v>
      </c>
      <c r="E16" s="3">
        <v>0.21</v>
      </c>
      <c r="F16" s="3">
        <v>0.55000000000000004</v>
      </c>
      <c r="G16" s="3">
        <v>0.76</v>
      </c>
      <c r="H16" s="3" t="s">
        <v>12</v>
      </c>
      <c r="I16" s="3">
        <v>0.54</v>
      </c>
      <c r="J16" s="3">
        <v>0.32</v>
      </c>
      <c r="K16" s="3">
        <v>0.56999999999999995</v>
      </c>
      <c r="L16" s="3" t="s">
        <v>12</v>
      </c>
      <c r="M16" s="3" t="s">
        <v>12</v>
      </c>
      <c r="N16" s="3" t="s">
        <v>12</v>
      </c>
      <c r="O16" s="3">
        <v>0.08</v>
      </c>
      <c r="P16" s="3">
        <v>0.12</v>
      </c>
      <c r="Q16" s="3">
        <v>0.43</v>
      </c>
      <c r="R16" s="3">
        <v>0.26</v>
      </c>
      <c r="S16" s="3">
        <v>0.5</v>
      </c>
      <c r="T16" s="3">
        <v>0.36</v>
      </c>
      <c r="U16" s="3">
        <v>0.57999999999999996</v>
      </c>
      <c r="V16" s="3" t="s">
        <v>65</v>
      </c>
    </row>
    <row r="17" spans="1:22" x14ac:dyDescent="0.2">
      <c r="A17" s="3" t="s">
        <v>425</v>
      </c>
      <c r="B17" s="3">
        <v>-0.45</v>
      </c>
      <c r="C17" s="3">
        <v>-3.13</v>
      </c>
      <c r="D17" s="3">
        <v>0.79</v>
      </c>
      <c r="E17" s="3">
        <v>-0.4</v>
      </c>
      <c r="F17" s="3">
        <v>-0.75</v>
      </c>
      <c r="G17" s="3">
        <v>1.1599999999999999</v>
      </c>
      <c r="H17" s="3">
        <v>-1.75</v>
      </c>
      <c r="I17" s="3">
        <v>-0.48</v>
      </c>
      <c r="J17" s="3">
        <v>1.04</v>
      </c>
      <c r="K17" s="3">
        <v>3.36</v>
      </c>
      <c r="L17" s="3">
        <v>-1</v>
      </c>
      <c r="M17" s="3">
        <v>-1.2</v>
      </c>
      <c r="N17" s="3">
        <v>-0.53</v>
      </c>
      <c r="O17" s="3">
        <v>-0.51</v>
      </c>
      <c r="P17" s="3">
        <v>-0.44</v>
      </c>
      <c r="Q17" s="3">
        <v>-0.09</v>
      </c>
      <c r="R17" s="3">
        <v>0.14000000000000001</v>
      </c>
      <c r="S17" s="3">
        <v>-0.6</v>
      </c>
      <c r="T17" s="3">
        <v>-0.4</v>
      </c>
      <c r="U17" s="3">
        <v>-0.08</v>
      </c>
      <c r="V17" s="3" t="s">
        <v>65</v>
      </c>
    </row>
    <row r="18" spans="1:22" x14ac:dyDescent="0.2">
      <c r="A18" s="3" t="s">
        <v>371</v>
      </c>
      <c r="B18" s="3">
        <v>-0.26</v>
      </c>
      <c r="C18" s="3">
        <v>-7.0000000000000007E-2</v>
      </c>
      <c r="D18" s="3">
        <v>0.26</v>
      </c>
      <c r="E18" s="3">
        <v>0.16</v>
      </c>
      <c r="F18" s="3">
        <v>-3.35</v>
      </c>
      <c r="G18" s="3">
        <v>0.02</v>
      </c>
      <c r="H18" s="3">
        <v>0.26</v>
      </c>
      <c r="I18" s="3">
        <v>0.45</v>
      </c>
      <c r="J18" s="3">
        <v>-0.94</v>
      </c>
      <c r="K18" s="3">
        <v>0.25</v>
      </c>
      <c r="L18" s="3">
        <v>0.1</v>
      </c>
      <c r="M18" s="3">
        <v>2.67</v>
      </c>
      <c r="N18" s="3">
        <v>1.45</v>
      </c>
      <c r="O18" s="3">
        <v>0.09</v>
      </c>
      <c r="P18" s="3">
        <v>0.15</v>
      </c>
      <c r="Q18" s="3">
        <v>-0.56999999999999995</v>
      </c>
      <c r="R18" s="3">
        <v>-0.27</v>
      </c>
      <c r="S18" s="3">
        <v>0.27</v>
      </c>
      <c r="T18" s="3">
        <v>-32.700000000000003</v>
      </c>
      <c r="U18" s="3">
        <v>0.21</v>
      </c>
      <c r="V18" s="3" t="s">
        <v>65</v>
      </c>
    </row>
    <row r="19" spans="1:22" x14ac:dyDescent="0.2">
      <c r="A19" s="3" t="s">
        <v>192</v>
      </c>
      <c r="B19" s="3">
        <v>0.63</v>
      </c>
      <c r="C19" s="3">
        <v>14.75</v>
      </c>
      <c r="D19" s="3">
        <v>-19.88</v>
      </c>
      <c r="E19" s="3">
        <v>12.05</v>
      </c>
      <c r="F19" s="3">
        <v>14.04</v>
      </c>
      <c r="G19" s="3">
        <v>13.75</v>
      </c>
      <c r="H19" s="3">
        <v>21</v>
      </c>
      <c r="I19" s="3">
        <v>15.57</v>
      </c>
      <c r="J19" s="3">
        <v>20</v>
      </c>
      <c r="K19" s="3">
        <v>17.96</v>
      </c>
      <c r="L19" s="3">
        <v>19.38</v>
      </c>
      <c r="M19" s="3">
        <v>17.71</v>
      </c>
      <c r="N19" s="3">
        <v>18.53</v>
      </c>
      <c r="O19" s="3">
        <v>11.92</v>
      </c>
      <c r="P19" s="3">
        <v>20.83</v>
      </c>
      <c r="Q19" s="3">
        <v>17.25</v>
      </c>
      <c r="R19" s="3">
        <v>13.95</v>
      </c>
      <c r="S19" s="3">
        <v>7.46</v>
      </c>
      <c r="T19" s="3">
        <v>-19.98</v>
      </c>
      <c r="U19" s="3">
        <v>1.05</v>
      </c>
      <c r="V19" s="3" t="s">
        <v>65</v>
      </c>
    </row>
    <row r="20" spans="1:22" x14ac:dyDescent="0.2">
      <c r="A20" s="3" t="s">
        <v>477</v>
      </c>
      <c r="B20" s="3">
        <v>-4.12</v>
      </c>
      <c r="C20" s="3">
        <v>-8.86</v>
      </c>
      <c r="D20" s="3">
        <v>-0.08</v>
      </c>
      <c r="E20" s="3" t="s">
        <v>12</v>
      </c>
      <c r="F20" s="3">
        <v>3.69</v>
      </c>
      <c r="G20" s="3">
        <v>-0.11</v>
      </c>
      <c r="H20" s="3" t="s">
        <v>12</v>
      </c>
      <c r="I20" s="3">
        <v>-2.9</v>
      </c>
      <c r="J20" s="3" t="s">
        <v>12</v>
      </c>
      <c r="K20" s="3" t="s">
        <v>12</v>
      </c>
      <c r="L20" s="3" t="s">
        <v>12</v>
      </c>
      <c r="M20" s="3" t="s">
        <v>12</v>
      </c>
      <c r="N20" s="3">
        <v>-0.55000000000000004</v>
      </c>
      <c r="O20" s="3">
        <v>-0.96</v>
      </c>
      <c r="P20" s="3">
        <v>-1.55</v>
      </c>
      <c r="Q20" s="3">
        <v>-12.22</v>
      </c>
      <c r="R20" s="3">
        <v>-3</v>
      </c>
      <c r="S20" s="3">
        <v>-0.25</v>
      </c>
      <c r="T20" s="3">
        <v>-0.49</v>
      </c>
      <c r="U20" s="3">
        <v>-1.93</v>
      </c>
      <c r="V20" s="3" t="s">
        <v>65</v>
      </c>
    </row>
    <row r="21" spans="1:22" x14ac:dyDescent="0.2">
      <c r="A21" s="3" t="s">
        <v>492</v>
      </c>
      <c r="B21" s="3" t="s">
        <v>12</v>
      </c>
      <c r="C21" s="3" t="s">
        <v>12</v>
      </c>
      <c r="D21" s="3" t="s">
        <v>12</v>
      </c>
      <c r="E21" s="3" t="s">
        <v>12</v>
      </c>
      <c r="F21" s="3" t="s">
        <v>12</v>
      </c>
      <c r="G21" s="3" t="s">
        <v>12</v>
      </c>
      <c r="H21" s="3">
        <v>-0.09</v>
      </c>
      <c r="I21" s="3" t="s">
        <v>12</v>
      </c>
      <c r="J21" s="3">
        <v>0.17</v>
      </c>
      <c r="K21" s="3" t="s">
        <v>12</v>
      </c>
      <c r="L21" s="3">
        <v>-0.31</v>
      </c>
      <c r="M21" s="3">
        <v>-0.43</v>
      </c>
      <c r="N21" s="3" t="s">
        <v>12</v>
      </c>
      <c r="O21" s="3" t="s">
        <v>12</v>
      </c>
      <c r="P21" s="3" t="s">
        <v>12</v>
      </c>
      <c r="Q21" s="3" t="s">
        <v>12</v>
      </c>
      <c r="R21" s="3" t="s">
        <v>12</v>
      </c>
      <c r="S21" s="3" t="s">
        <v>12</v>
      </c>
      <c r="T21" s="3" t="s">
        <v>12</v>
      </c>
      <c r="U21" s="3" t="s">
        <v>12</v>
      </c>
      <c r="V21" s="3" t="s">
        <v>65</v>
      </c>
    </row>
    <row r="22" spans="1:22" x14ac:dyDescent="0.2">
      <c r="A22" s="3" t="s">
        <v>478</v>
      </c>
      <c r="B22" s="3" t="s">
        <v>12</v>
      </c>
      <c r="C22" s="3" t="s">
        <v>12</v>
      </c>
      <c r="D22" s="3" t="s">
        <v>12</v>
      </c>
      <c r="E22" s="3" t="s">
        <v>12</v>
      </c>
      <c r="F22" s="3">
        <v>-3.42</v>
      </c>
      <c r="G22" s="3" t="s">
        <v>12</v>
      </c>
      <c r="H22" s="3" t="s">
        <v>12</v>
      </c>
      <c r="I22" s="3" t="s">
        <v>12</v>
      </c>
      <c r="J22" s="3">
        <v>1.23</v>
      </c>
      <c r="K22" s="3">
        <v>-1.23</v>
      </c>
      <c r="L22" s="3" t="s">
        <v>12</v>
      </c>
      <c r="M22" s="3" t="s">
        <v>12</v>
      </c>
      <c r="N22" s="3" t="s">
        <v>12</v>
      </c>
      <c r="O22" s="3" t="s">
        <v>12</v>
      </c>
      <c r="P22" s="3" t="s">
        <v>12</v>
      </c>
      <c r="Q22" s="3">
        <v>-14.8</v>
      </c>
      <c r="R22" s="3" t="s">
        <v>12</v>
      </c>
      <c r="S22" s="3" t="s">
        <v>12</v>
      </c>
      <c r="T22" s="3">
        <v>16.32</v>
      </c>
      <c r="U22" s="3">
        <v>-3.05</v>
      </c>
      <c r="V22" s="3" t="s">
        <v>65</v>
      </c>
    </row>
    <row r="23" spans="1:22" x14ac:dyDescent="0.2">
      <c r="A23" s="3" t="s">
        <v>112</v>
      </c>
      <c r="B23" s="3">
        <v>-3.49</v>
      </c>
      <c r="C23" s="3">
        <v>5.89</v>
      </c>
      <c r="D23" s="3">
        <v>-19.95</v>
      </c>
      <c r="E23" s="3">
        <v>12.05</v>
      </c>
      <c r="F23" s="3">
        <v>14.31</v>
      </c>
      <c r="G23" s="3">
        <v>13.64</v>
      </c>
      <c r="H23" s="3">
        <v>20.91</v>
      </c>
      <c r="I23" s="3">
        <v>12.67</v>
      </c>
      <c r="J23" s="3">
        <v>21.39</v>
      </c>
      <c r="K23" s="3">
        <v>16.73</v>
      </c>
      <c r="L23" s="3">
        <v>19.07</v>
      </c>
      <c r="M23" s="3">
        <v>17.28</v>
      </c>
      <c r="N23" s="3">
        <v>17.98</v>
      </c>
      <c r="O23" s="3">
        <v>10.96</v>
      </c>
      <c r="P23" s="3">
        <v>19.29</v>
      </c>
      <c r="Q23" s="3">
        <v>-9.7799999999999994</v>
      </c>
      <c r="R23" s="3">
        <v>10.95</v>
      </c>
      <c r="S23" s="3">
        <v>7.21</v>
      </c>
      <c r="T23" s="3">
        <v>-4.1500000000000004</v>
      </c>
      <c r="U23" s="3">
        <v>-3.93</v>
      </c>
      <c r="V23" s="3" t="s">
        <v>65</v>
      </c>
    </row>
    <row r="24" spans="1:22" x14ac:dyDescent="0.2">
      <c r="A24" s="3" t="s">
        <v>113</v>
      </c>
      <c r="B24" s="3">
        <v>-0.81</v>
      </c>
      <c r="C24" s="3">
        <v>1.93</v>
      </c>
      <c r="D24" s="3">
        <v>-4.91</v>
      </c>
      <c r="E24" s="3">
        <v>3.42</v>
      </c>
      <c r="F24" s="3">
        <v>2.5</v>
      </c>
      <c r="G24" s="3">
        <v>3.91</v>
      </c>
      <c r="H24" s="3">
        <v>5.0999999999999996</v>
      </c>
      <c r="I24" s="3">
        <v>3.39</v>
      </c>
      <c r="J24" s="3">
        <v>7.5</v>
      </c>
      <c r="K24" s="3">
        <v>4.7</v>
      </c>
      <c r="L24" s="3">
        <v>4.95</v>
      </c>
      <c r="M24" s="3">
        <v>8.89</v>
      </c>
      <c r="N24" s="3">
        <v>6.15</v>
      </c>
      <c r="O24" s="3">
        <v>1.07</v>
      </c>
      <c r="P24" s="3">
        <v>4.08</v>
      </c>
      <c r="Q24" s="3">
        <v>-2.52</v>
      </c>
      <c r="R24" s="3">
        <v>1.36</v>
      </c>
      <c r="S24" s="3">
        <v>0.62</v>
      </c>
      <c r="T24" s="3">
        <v>-0.05</v>
      </c>
      <c r="U24" s="3">
        <v>-0.96</v>
      </c>
      <c r="V24" s="3" t="s">
        <v>65</v>
      </c>
    </row>
    <row r="25" spans="1:22" x14ac:dyDescent="0.2">
      <c r="A25" s="3" t="s">
        <v>17</v>
      </c>
      <c r="B25" s="3">
        <v>-2.68</v>
      </c>
      <c r="C25" s="3">
        <v>3.96</v>
      </c>
      <c r="D25" s="3">
        <v>-15.04</v>
      </c>
      <c r="E25" s="3">
        <v>8.6300000000000008</v>
      </c>
      <c r="F25" s="3">
        <v>11.81</v>
      </c>
      <c r="G25" s="3">
        <v>9.73</v>
      </c>
      <c r="H25" s="3">
        <v>15.81</v>
      </c>
      <c r="I25" s="3">
        <v>9.2799999999999994</v>
      </c>
      <c r="J25" s="3">
        <v>13.9</v>
      </c>
      <c r="K25" s="3">
        <v>12.03</v>
      </c>
      <c r="L25" s="3">
        <v>14.11</v>
      </c>
      <c r="M25" s="3">
        <v>8.39</v>
      </c>
      <c r="N25" s="3">
        <v>11.83</v>
      </c>
      <c r="O25" s="3">
        <v>9.89</v>
      </c>
      <c r="P25" s="3">
        <v>15.2</v>
      </c>
      <c r="Q25" s="3">
        <v>-7.26</v>
      </c>
      <c r="R25" s="3">
        <v>9.59</v>
      </c>
      <c r="S25" s="3">
        <v>6.59</v>
      </c>
      <c r="T25" s="3">
        <v>-4.0999999999999996</v>
      </c>
      <c r="U25" s="3">
        <v>-2.97</v>
      </c>
      <c r="V25" s="3" t="s">
        <v>65</v>
      </c>
    </row>
    <row r="26" spans="1:22" x14ac:dyDescent="0.2">
      <c r="A26" s="3" t="s">
        <v>114</v>
      </c>
      <c r="B26" s="3">
        <v>-2.68</v>
      </c>
      <c r="C26" s="3">
        <v>3.96</v>
      </c>
      <c r="D26" s="3">
        <v>-15.04</v>
      </c>
      <c r="E26" s="3">
        <v>8.6300000000000008</v>
      </c>
      <c r="F26" s="3">
        <v>11.81</v>
      </c>
      <c r="G26" s="3">
        <v>9.73</v>
      </c>
      <c r="H26" s="3">
        <v>15.81</v>
      </c>
      <c r="I26" s="3">
        <v>9.2799999999999994</v>
      </c>
      <c r="J26" s="3">
        <v>13.9</v>
      </c>
      <c r="K26" s="3">
        <v>12.03</v>
      </c>
      <c r="L26" s="3">
        <v>14.11</v>
      </c>
      <c r="M26" s="3">
        <v>8.39</v>
      </c>
      <c r="N26" s="3">
        <v>11.83</v>
      </c>
      <c r="O26" s="3">
        <v>9.89</v>
      </c>
      <c r="P26" s="3">
        <v>15.2</v>
      </c>
      <c r="Q26" s="3">
        <v>-7.26</v>
      </c>
      <c r="R26" s="3">
        <v>9.59</v>
      </c>
      <c r="S26" s="3">
        <v>6.59</v>
      </c>
      <c r="T26" s="3">
        <v>-4.0999999999999996</v>
      </c>
      <c r="U26" s="3">
        <v>-2.97</v>
      </c>
      <c r="V26" s="3" t="s">
        <v>65</v>
      </c>
    </row>
    <row r="27" spans="1:22" x14ac:dyDescent="0.2">
      <c r="A27" s="3" t="s">
        <v>486</v>
      </c>
      <c r="B27" s="3" t="s">
        <v>12</v>
      </c>
      <c r="C27" s="5">
        <v>-0.59289999999999998</v>
      </c>
      <c r="D27" s="3" t="s">
        <v>12</v>
      </c>
      <c r="E27" s="5">
        <v>-6.9699999999999998E-2</v>
      </c>
      <c r="F27" s="5">
        <v>-0.15010000000000001</v>
      </c>
      <c r="G27" s="5">
        <v>-0.1913</v>
      </c>
      <c r="H27" s="5">
        <v>0.12039999999999999</v>
      </c>
      <c r="I27" s="5">
        <v>0.10539999999999999</v>
      </c>
      <c r="J27" s="5">
        <v>0.17499999999999999</v>
      </c>
      <c r="K27" s="5">
        <v>0.21579999999999999</v>
      </c>
      <c r="L27" s="5">
        <v>-7.1599999999999997E-2</v>
      </c>
      <c r="M27" s="3" t="s">
        <v>12</v>
      </c>
      <c r="N27" s="5">
        <v>0.23380000000000001</v>
      </c>
      <c r="O27" s="5">
        <v>0.50039999999999996</v>
      </c>
      <c r="P27" s="3" t="s">
        <v>12</v>
      </c>
      <c r="Q27" s="3" t="s">
        <v>12</v>
      </c>
      <c r="R27" s="5">
        <v>3.6900000000000002E-2</v>
      </c>
      <c r="S27" s="5">
        <v>-0.56759999999999999</v>
      </c>
      <c r="T27" s="3" t="s">
        <v>12</v>
      </c>
      <c r="U27" s="3" t="s">
        <v>12</v>
      </c>
      <c r="V27" s="3" t="s">
        <v>65</v>
      </c>
    </row>
    <row r="28" spans="1:22" x14ac:dyDescent="0.2">
      <c r="A28" s="3" t="s">
        <v>115</v>
      </c>
      <c r="B28" s="3">
        <v>29</v>
      </c>
      <c r="C28" s="3">
        <v>29</v>
      </c>
      <c r="D28" s="3">
        <v>29</v>
      </c>
      <c r="E28" s="3">
        <v>29</v>
      </c>
      <c r="F28" s="3">
        <v>29</v>
      </c>
      <c r="G28" s="3">
        <v>29</v>
      </c>
      <c r="H28" s="3">
        <v>29</v>
      </c>
      <c r="I28" s="3">
        <v>29</v>
      </c>
      <c r="J28" s="3">
        <v>29</v>
      </c>
      <c r="K28" s="3">
        <v>29</v>
      </c>
      <c r="L28" s="3">
        <v>29</v>
      </c>
      <c r="M28" s="3">
        <v>29</v>
      </c>
      <c r="N28" s="3">
        <v>29</v>
      </c>
      <c r="O28" s="3">
        <v>28</v>
      </c>
      <c r="P28" s="3">
        <v>28</v>
      </c>
      <c r="Q28" s="3">
        <v>27</v>
      </c>
      <c r="R28" s="3">
        <v>24</v>
      </c>
      <c r="S28" s="3">
        <v>24</v>
      </c>
      <c r="T28" s="3">
        <v>24</v>
      </c>
      <c r="U28" s="3">
        <v>24</v>
      </c>
      <c r="V28" s="3" t="s">
        <v>65</v>
      </c>
    </row>
    <row r="29" spans="1:22" x14ac:dyDescent="0.2">
      <c r="A29" s="3" t="s">
        <v>116</v>
      </c>
      <c r="B29" s="3">
        <v>29</v>
      </c>
      <c r="C29" s="3">
        <v>29</v>
      </c>
      <c r="D29" s="3">
        <v>29</v>
      </c>
      <c r="E29" s="3">
        <v>29</v>
      </c>
      <c r="F29" s="3">
        <v>29</v>
      </c>
      <c r="G29" s="3">
        <v>29</v>
      </c>
      <c r="H29" s="3">
        <v>29</v>
      </c>
      <c r="I29" s="3">
        <v>29</v>
      </c>
      <c r="J29" s="3">
        <v>29</v>
      </c>
      <c r="K29" s="3">
        <v>29</v>
      </c>
      <c r="L29" s="3">
        <v>29</v>
      </c>
      <c r="M29" s="3">
        <v>29</v>
      </c>
      <c r="N29" s="3">
        <v>29</v>
      </c>
      <c r="O29" s="3">
        <v>29</v>
      </c>
      <c r="P29" s="3">
        <v>29</v>
      </c>
      <c r="Q29" s="3">
        <v>27</v>
      </c>
      <c r="R29" s="3">
        <v>24</v>
      </c>
      <c r="S29" s="3">
        <v>24</v>
      </c>
      <c r="T29" s="3">
        <v>24</v>
      </c>
      <c r="U29" s="3">
        <v>24</v>
      </c>
      <c r="V29" s="3" t="s">
        <v>65</v>
      </c>
    </row>
    <row r="30" spans="1:22" x14ac:dyDescent="0.2">
      <c r="A30" s="3" t="s">
        <v>193</v>
      </c>
      <c r="B30" s="5">
        <v>-1.7600000000000001E-2</v>
      </c>
      <c r="C30" s="5">
        <v>-3.5999999999999999E-3</v>
      </c>
      <c r="D30" s="5">
        <v>-4.5999999999999999E-3</v>
      </c>
      <c r="E30" s="5">
        <v>7.7000000000000002E-3</v>
      </c>
      <c r="F30" s="5">
        <v>8.9999999999999993E-3</v>
      </c>
      <c r="G30" s="5">
        <v>7.4000000000000003E-3</v>
      </c>
      <c r="H30" s="5">
        <v>8.8000000000000005E-3</v>
      </c>
      <c r="I30" s="5">
        <v>7.1999999999999998E-3</v>
      </c>
      <c r="J30" s="5">
        <v>8.0000000000000004E-4</v>
      </c>
      <c r="K30" s="5">
        <v>-2.0999999999999999E-3</v>
      </c>
      <c r="L30" s="5">
        <v>-2.9999999999999997E-4</v>
      </c>
      <c r="M30" s="5">
        <v>7.2400000000000006E-2</v>
      </c>
      <c r="N30" s="5">
        <v>0.183</v>
      </c>
      <c r="O30" s="5">
        <v>0.19170000000000001</v>
      </c>
      <c r="P30" s="5">
        <v>0.20399999999999999</v>
      </c>
      <c r="Q30" s="5">
        <v>0.1244</v>
      </c>
      <c r="R30" s="5">
        <v>1.8599999999999998E-2</v>
      </c>
      <c r="S30" s="5">
        <v>7.1000000000000004E-3</v>
      </c>
      <c r="T30" s="5">
        <v>-1.8E-3</v>
      </c>
      <c r="U30" s="5">
        <v>1E-3</v>
      </c>
      <c r="V30" s="3" t="s">
        <v>65</v>
      </c>
    </row>
    <row r="31" spans="1:22" x14ac:dyDescent="0.2">
      <c r="A31" s="3" t="s">
        <v>33</v>
      </c>
      <c r="B31" s="3">
        <v>-0.09</v>
      </c>
      <c r="C31" s="3">
        <v>0.14000000000000001</v>
      </c>
      <c r="D31" s="3">
        <v>-0.52</v>
      </c>
      <c r="E31" s="3">
        <v>0.3</v>
      </c>
      <c r="F31" s="3">
        <v>0.41</v>
      </c>
      <c r="G31" s="3">
        <v>0.34</v>
      </c>
      <c r="H31" s="3">
        <v>0.55000000000000004</v>
      </c>
      <c r="I31" s="3">
        <v>0.32</v>
      </c>
      <c r="J31" s="3">
        <v>0.49</v>
      </c>
      <c r="K31" s="3">
        <v>0.42</v>
      </c>
      <c r="L31" s="3">
        <v>0.49</v>
      </c>
      <c r="M31" s="3">
        <v>0.28999999999999998</v>
      </c>
      <c r="N31" s="3">
        <v>0.41</v>
      </c>
      <c r="O31" s="3">
        <v>0.35</v>
      </c>
      <c r="P31" s="3">
        <v>0.53</v>
      </c>
      <c r="Q31" s="3">
        <v>-0.27</v>
      </c>
      <c r="R31" s="3">
        <v>0.4</v>
      </c>
      <c r="S31" s="3">
        <v>0.28000000000000003</v>
      </c>
      <c r="T31" s="3">
        <v>-0.17</v>
      </c>
      <c r="U31" s="3">
        <v>-0.12</v>
      </c>
      <c r="V31" s="3" t="s">
        <v>65</v>
      </c>
    </row>
    <row r="32" spans="1:22" x14ac:dyDescent="0.2">
      <c r="A32" s="3" t="s">
        <v>34</v>
      </c>
      <c r="B32" s="3">
        <v>-0.09</v>
      </c>
      <c r="C32" s="3">
        <v>0.14000000000000001</v>
      </c>
      <c r="D32" s="3">
        <v>-0.52</v>
      </c>
      <c r="E32" s="3">
        <v>0.3</v>
      </c>
      <c r="F32" s="3">
        <v>0.41</v>
      </c>
      <c r="G32" s="3">
        <v>0.34</v>
      </c>
      <c r="H32" s="3">
        <v>0.55000000000000004</v>
      </c>
      <c r="I32" s="3">
        <v>0.32</v>
      </c>
      <c r="J32" s="3">
        <v>0.48</v>
      </c>
      <c r="K32" s="3">
        <v>0.42</v>
      </c>
      <c r="L32" s="3">
        <v>0.49</v>
      </c>
      <c r="M32" s="3">
        <v>0.28999999999999998</v>
      </c>
      <c r="N32" s="3">
        <v>0.41</v>
      </c>
      <c r="O32" s="3">
        <v>0.34</v>
      </c>
      <c r="P32" s="3">
        <v>0.53</v>
      </c>
      <c r="Q32" s="3">
        <v>-0.27</v>
      </c>
      <c r="R32" s="3">
        <v>0.4</v>
      </c>
      <c r="S32" s="3">
        <v>0.27</v>
      </c>
      <c r="T32" s="3">
        <v>-0.17</v>
      </c>
      <c r="U32" s="3">
        <v>-0.12</v>
      </c>
      <c r="V32" s="3" t="s">
        <v>65</v>
      </c>
    </row>
    <row r="33" spans="1:22" x14ac:dyDescent="0.2">
      <c r="A33" s="3" t="s">
        <v>66</v>
      </c>
      <c r="B33" s="3" t="s">
        <v>12</v>
      </c>
      <c r="C33" s="5">
        <v>-0.59130000000000005</v>
      </c>
      <c r="D33" s="3" t="s">
        <v>12</v>
      </c>
      <c r="E33" s="5">
        <v>-6.4799999999999996E-2</v>
      </c>
      <c r="F33" s="5">
        <v>-0.1474</v>
      </c>
      <c r="G33" s="5">
        <v>-0.19420000000000001</v>
      </c>
      <c r="H33" s="5">
        <v>0.1225</v>
      </c>
      <c r="I33" s="5">
        <v>0.10349999999999999</v>
      </c>
      <c r="J33" s="5">
        <v>0.18279999999999999</v>
      </c>
      <c r="K33" s="5">
        <v>0.23530000000000001</v>
      </c>
      <c r="L33" s="5">
        <v>-7.5499999999999998E-2</v>
      </c>
      <c r="M33" s="3" t="s">
        <v>12</v>
      </c>
      <c r="N33" s="5">
        <v>2.6700000000000002E-2</v>
      </c>
      <c r="O33" s="5">
        <v>0.25929999999999997</v>
      </c>
      <c r="P33" s="3" t="s">
        <v>12</v>
      </c>
      <c r="Q33" s="3" t="s">
        <v>12</v>
      </c>
      <c r="R33" s="5">
        <v>3.61E-2</v>
      </c>
      <c r="S33" s="5">
        <v>-0.57140000000000002</v>
      </c>
      <c r="T33" s="3" t="s">
        <v>12</v>
      </c>
      <c r="U33" s="3" t="s">
        <v>12</v>
      </c>
      <c r="V33" s="3" t="s">
        <v>65</v>
      </c>
    </row>
    <row r="34" spans="1:22" x14ac:dyDescent="0.2">
      <c r="A34" s="3" t="s">
        <v>6</v>
      </c>
      <c r="B34" s="3">
        <v>29.47</v>
      </c>
      <c r="C34" s="3">
        <v>6.17</v>
      </c>
      <c r="D34" s="3">
        <v>3.95</v>
      </c>
      <c r="E34" s="3">
        <v>-15.39</v>
      </c>
      <c r="F34" s="3">
        <v>30.13</v>
      </c>
      <c r="G34" s="3">
        <v>23.13</v>
      </c>
      <c r="H34" s="3">
        <v>11.64</v>
      </c>
      <c r="I34" s="3">
        <v>-22.52</v>
      </c>
      <c r="J34" s="3">
        <v>63.61</v>
      </c>
      <c r="K34" s="3">
        <v>6.53</v>
      </c>
      <c r="L34" s="3">
        <v>14.99</v>
      </c>
      <c r="M34" s="3">
        <v>-14.13</v>
      </c>
      <c r="N34" s="3">
        <v>21.56</v>
      </c>
      <c r="O34" s="3">
        <v>3.03</v>
      </c>
      <c r="P34" s="3">
        <v>22.23</v>
      </c>
      <c r="Q34" s="3">
        <v>-11.04</v>
      </c>
      <c r="R34" s="3">
        <v>20.55</v>
      </c>
      <c r="S34" s="3">
        <v>21.88</v>
      </c>
      <c r="T34" s="3">
        <v>35.74</v>
      </c>
      <c r="U34" s="3">
        <v>8.43</v>
      </c>
      <c r="V34" s="3" t="s">
        <v>65</v>
      </c>
    </row>
    <row r="35" spans="1:22" x14ac:dyDescent="0.2">
      <c r="A35" s="3" t="s">
        <v>18</v>
      </c>
      <c r="B35" s="3">
        <v>1.03</v>
      </c>
      <c r="C35" s="3">
        <v>0.21</v>
      </c>
      <c r="D35" s="3">
        <v>0.14000000000000001</v>
      </c>
      <c r="E35" s="3">
        <v>-0.53</v>
      </c>
      <c r="F35" s="3">
        <v>1.03</v>
      </c>
      <c r="G35" s="3">
        <v>0.8</v>
      </c>
      <c r="H35" s="3">
        <v>0.4</v>
      </c>
      <c r="I35" s="3">
        <v>-0.78</v>
      </c>
      <c r="J35" s="3">
        <v>2.2000000000000002</v>
      </c>
      <c r="K35" s="3">
        <v>0.23</v>
      </c>
      <c r="L35" s="3">
        <v>0.52</v>
      </c>
      <c r="M35" s="3">
        <v>-0.49</v>
      </c>
      <c r="N35" s="3">
        <v>0.75</v>
      </c>
      <c r="O35" s="3">
        <v>0.1</v>
      </c>
      <c r="P35" s="3">
        <v>0.77</v>
      </c>
      <c r="Q35" s="3">
        <v>-0.41</v>
      </c>
      <c r="R35" s="3">
        <v>0.84</v>
      </c>
      <c r="S35" s="3">
        <v>0.9</v>
      </c>
      <c r="T35" s="3">
        <v>1.5</v>
      </c>
      <c r="U35" s="3">
        <v>0.35</v>
      </c>
      <c r="V35" s="3" t="s">
        <v>65</v>
      </c>
    </row>
    <row r="36" spans="1:22" x14ac:dyDescent="0.2">
      <c r="A36" s="3" t="s">
        <v>35</v>
      </c>
      <c r="B36" s="3">
        <v>7.0000000000000007E-2</v>
      </c>
      <c r="C36" s="3">
        <v>7.0000000000000007E-2</v>
      </c>
      <c r="D36" s="3">
        <v>7.0000000000000007E-2</v>
      </c>
      <c r="E36" s="3">
        <v>7.0000000000000007E-2</v>
      </c>
      <c r="F36" s="3">
        <v>7.0000000000000007E-2</v>
      </c>
      <c r="G36" s="3">
        <v>7.0000000000000007E-2</v>
      </c>
      <c r="H36" s="3">
        <v>7.0000000000000007E-2</v>
      </c>
      <c r="I36" s="3">
        <v>7.0000000000000007E-2</v>
      </c>
      <c r="J36" s="3">
        <v>7.0000000000000007E-2</v>
      </c>
      <c r="K36" s="3">
        <v>7.0000000000000007E-2</v>
      </c>
      <c r="L36" s="3">
        <v>7.0000000000000007E-2</v>
      </c>
      <c r="M36" s="3">
        <v>7.0000000000000007E-2</v>
      </c>
      <c r="N36" s="3">
        <v>7.0000000000000007E-2</v>
      </c>
      <c r="O36" s="3">
        <v>0.06</v>
      </c>
      <c r="P36" s="3">
        <v>0.06</v>
      </c>
      <c r="Q36" s="3">
        <v>0.06</v>
      </c>
      <c r="R36" s="3">
        <v>0.06</v>
      </c>
      <c r="S36" s="3">
        <v>0.06</v>
      </c>
      <c r="T36" s="3">
        <v>0.06</v>
      </c>
      <c r="U36" s="3">
        <v>0.06</v>
      </c>
      <c r="V36" s="3" t="s">
        <v>65</v>
      </c>
    </row>
    <row r="37" spans="1:22" x14ac:dyDescent="0.2">
      <c r="A37" s="3" t="s">
        <v>493</v>
      </c>
      <c r="B37" s="3" t="s">
        <v>12</v>
      </c>
      <c r="C37" s="3" t="s">
        <v>12</v>
      </c>
      <c r="D37" s="3" t="s">
        <v>12</v>
      </c>
      <c r="E37" s="3" t="s">
        <v>12</v>
      </c>
      <c r="F37" s="3" t="s">
        <v>12</v>
      </c>
      <c r="G37" s="3" t="s">
        <v>12</v>
      </c>
      <c r="H37" s="3" t="s">
        <v>12</v>
      </c>
      <c r="I37" s="3" t="s">
        <v>12</v>
      </c>
      <c r="J37" s="3" t="s">
        <v>12</v>
      </c>
      <c r="K37" s="5">
        <v>0.16669999999999999</v>
      </c>
      <c r="L37" s="5">
        <v>0.16669999999999999</v>
      </c>
      <c r="M37" s="5">
        <v>0.16669999999999999</v>
      </c>
      <c r="N37" s="5">
        <v>0.16669999999999999</v>
      </c>
      <c r="O37" s="3" t="s">
        <v>12</v>
      </c>
      <c r="P37" s="3" t="s">
        <v>12</v>
      </c>
      <c r="Q37" s="3" t="s">
        <v>12</v>
      </c>
      <c r="R37" s="3" t="s">
        <v>12</v>
      </c>
      <c r="S37" s="3" t="s">
        <v>12</v>
      </c>
      <c r="T37" s="3" t="s">
        <v>12</v>
      </c>
      <c r="U37" s="3" t="s">
        <v>12</v>
      </c>
      <c r="V37" s="3" t="s">
        <v>65</v>
      </c>
    </row>
    <row r="38" spans="1:22" x14ac:dyDescent="0.2">
      <c r="A38" s="3" t="s">
        <v>36</v>
      </c>
      <c r="B38" s="5">
        <v>0.33989999999999998</v>
      </c>
      <c r="C38" s="5">
        <v>0.38819999999999999</v>
      </c>
      <c r="D38" s="5">
        <v>0.30880000000000002</v>
      </c>
      <c r="E38" s="5">
        <v>0.37140000000000001</v>
      </c>
      <c r="F38" s="5">
        <v>0.35360000000000003</v>
      </c>
      <c r="G38" s="5">
        <v>0.3695</v>
      </c>
      <c r="H38" s="5">
        <v>0.38690000000000002</v>
      </c>
      <c r="I38" s="5">
        <v>0.36880000000000002</v>
      </c>
      <c r="J38" s="5">
        <v>0.3594</v>
      </c>
      <c r="K38" s="5">
        <v>0.35610000000000003</v>
      </c>
      <c r="L38" s="5">
        <v>0.37240000000000001</v>
      </c>
      <c r="M38" s="5">
        <v>0.37459999999999999</v>
      </c>
      <c r="N38" s="5">
        <v>0.33739999999999998</v>
      </c>
      <c r="O38" s="5">
        <v>0.35049999999999998</v>
      </c>
      <c r="P38" s="5">
        <v>0.3669</v>
      </c>
      <c r="Q38" s="5">
        <v>0.3634</v>
      </c>
      <c r="R38" s="5">
        <v>0.35560000000000003</v>
      </c>
      <c r="S38" s="5">
        <v>0.33360000000000001</v>
      </c>
      <c r="T38" s="5">
        <v>0.35820000000000002</v>
      </c>
      <c r="U38" s="5">
        <v>0.33839999999999998</v>
      </c>
      <c r="V38" s="3" t="s">
        <v>65</v>
      </c>
    </row>
    <row r="39" spans="1:22" x14ac:dyDescent="0.2">
      <c r="A39" s="3" t="s">
        <v>37</v>
      </c>
      <c r="B39" s="5">
        <v>3.6700000000000003E-2</v>
      </c>
      <c r="C39" s="5">
        <v>0.10929999999999999</v>
      </c>
      <c r="D39" s="5">
        <v>-5.4399999999999997E-2</v>
      </c>
      <c r="E39" s="5">
        <v>8.4699999999999998E-2</v>
      </c>
      <c r="F39" s="5">
        <v>0.1008</v>
      </c>
      <c r="G39" s="5">
        <v>8.5699999999999998E-2</v>
      </c>
      <c r="H39" s="5">
        <v>0.1265</v>
      </c>
      <c r="I39" s="5">
        <v>0.10059999999999999</v>
      </c>
      <c r="J39" s="5">
        <v>0.1074</v>
      </c>
      <c r="K39" s="5">
        <v>9.1499999999999998E-2</v>
      </c>
      <c r="L39" s="5">
        <v>0.1167</v>
      </c>
      <c r="M39" s="5">
        <v>0.1019</v>
      </c>
      <c r="N39" s="5">
        <v>9.2899999999999996E-2</v>
      </c>
      <c r="O39" s="5">
        <v>7.6999999999999999E-2</v>
      </c>
      <c r="P39" s="5">
        <v>0.1145</v>
      </c>
      <c r="Q39" s="5">
        <v>0.1091</v>
      </c>
      <c r="R39" s="5">
        <v>8.9700000000000002E-2</v>
      </c>
      <c r="S39" s="5">
        <v>6.1699999999999998E-2</v>
      </c>
      <c r="T39" s="5">
        <v>0.1</v>
      </c>
      <c r="U39" s="5">
        <v>2.5399999999999999E-2</v>
      </c>
      <c r="V39" s="3" t="s">
        <v>65</v>
      </c>
    </row>
    <row r="40" spans="1:22" x14ac:dyDescent="0.2">
      <c r="A40" s="3" t="s">
        <v>38</v>
      </c>
      <c r="B40" s="5">
        <v>-1.09E-2</v>
      </c>
      <c r="C40" s="5">
        <v>1.6899999999999998E-2</v>
      </c>
      <c r="D40" s="5">
        <v>-6.2100000000000002E-2</v>
      </c>
      <c r="E40" s="5">
        <v>3.5999999999999997E-2</v>
      </c>
      <c r="F40" s="5">
        <v>4.4499999999999998E-2</v>
      </c>
      <c r="G40" s="5">
        <v>3.8300000000000001E-2</v>
      </c>
      <c r="H40" s="5">
        <v>6.1199999999999997E-2</v>
      </c>
      <c r="I40" s="5">
        <v>3.9399999999999998E-2</v>
      </c>
      <c r="J40" s="5">
        <v>5.4699999999999999E-2</v>
      </c>
      <c r="K40" s="5">
        <v>5.2200000000000003E-2</v>
      </c>
      <c r="L40" s="5">
        <v>6.0900000000000003E-2</v>
      </c>
      <c r="M40" s="5">
        <v>3.8100000000000002E-2</v>
      </c>
      <c r="N40" s="5">
        <v>4.6699999999999998E-2</v>
      </c>
      <c r="O40" s="5">
        <v>4.58E-2</v>
      </c>
      <c r="P40" s="5">
        <v>6.8000000000000005E-2</v>
      </c>
      <c r="Q40" s="5">
        <v>-3.4000000000000002E-2</v>
      </c>
      <c r="R40" s="5">
        <v>5.1499999999999997E-2</v>
      </c>
      <c r="S40" s="5">
        <v>3.9600000000000003E-2</v>
      </c>
      <c r="T40" s="5">
        <v>-2.5999999999999999E-2</v>
      </c>
      <c r="U40" s="5">
        <v>-2.1399999999999999E-2</v>
      </c>
      <c r="V40" s="3" t="s">
        <v>65</v>
      </c>
    </row>
    <row r="41" spans="1:22" x14ac:dyDescent="0.2">
      <c r="A41" s="3" t="s">
        <v>117</v>
      </c>
      <c r="B41" s="5">
        <v>0.11940000000000001</v>
      </c>
      <c r="C41" s="5">
        <v>2.64E-2</v>
      </c>
      <c r="D41" s="5">
        <v>1.6299999999999999E-2</v>
      </c>
      <c r="E41" s="5">
        <v>-6.4199999999999993E-2</v>
      </c>
      <c r="F41" s="5">
        <v>0.1135</v>
      </c>
      <c r="G41" s="5">
        <v>9.0999999999999998E-2</v>
      </c>
      <c r="H41" s="5">
        <v>4.5100000000000001E-2</v>
      </c>
      <c r="I41" s="5">
        <v>-9.5600000000000004E-2</v>
      </c>
      <c r="J41" s="5">
        <v>0.25059999999999999</v>
      </c>
      <c r="K41" s="5">
        <v>2.8299999999999999E-2</v>
      </c>
      <c r="L41" s="5">
        <v>6.4699999999999994E-2</v>
      </c>
      <c r="M41" s="5">
        <v>-6.4100000000000004E-2</v>
      </c>
      <c r="N41" s="5">
        <v>8.5099999999999995E-2</v>
      </c>
      <c r="O41" s="5">
        <v>1.4E-2</v>
      </c>
      <c r="P41" s="5">
        <v>9.9400000000000002E-2</v>
      </c>
      <c r="Q41" s="5">
        <v>-5.1700000000000003E-2</v>
      </c>
      <c r="R41" s="5">
        <v>0.1103</v>
      </c>
      <c r="S41" s="5">
        <v>0.13139999999999999</v>
      </c>
      <c r="T41" s="5">
        <v>0.22650000000000001</v>
      </c>
      <c r="U41" s="5">
        <v>6.0600000000000001E-2</v>
      </c>
      <c r="V41" s="3" t="s">
        <v>65</v>
      </c>
    </row>
    <row r="42" spans="1:22" x14ac:dyDescent="0.2">
      <c r="A42" s="3" t="s">
        <v>2</v>
      </c>
      <c r="B42" s="3">
        <v>21.01</v>
      </c>
      <c r="C42" s="3">
        <v>37.79</v>
      </c>
      <c r="D42" s="3">
        <v>-1</v>
      </c>
      <c r="E42" s="3">
        <v>32.15</v>
      </c>
      <c r="F42" s="3">
        <v>37.14</v>
      </c>
      <c r="G42" s="3">
        <v>33.340000000000003</v>
      </c>
      <c r="H42" s="3">
        <v>44.29</v>
      </c>
      <c r="I42" s="3">
        <v>34.57</v>
      </c>
      <c r="J42" s="3">
        <v>35.69</v>
      </c>
      <c r="K42" s="3">
        <v>31.57</v>
      </c>
      <c r="L42" s="3">
        <v>37.479999999999997</v>
      </c>
      <c r="M42" s="3">
        <v>32.92</v>
      </c>
      <c r="N42" s="3">
        <v>31.81</v>
      </c>
      <c r="O42" s="3">
        <v>26.92</v>
      </c>
      <c r="P42" s="3">
        <v>36.1</v>
      </c>
      <c r="Q42" s="3">
        <v>33.75</v>
      </c>
      <c r="R42" s="3">
        <v>20.010000000000002</v>
      </c>
      <c r="S42" s="3">
        <v>17.28</v>
      </c>
      <c r="T42" s="3">
        <v>22.9</v>
      </c>
      <c r="U42" s="3">
        <v>10.61</v>
      </c>
      <c r="V42" s="3" t="s">
        <v>65</v>
      </c>
    </row>
    <row r="43" spans="1:22" x14ac:dyDescent="0.2">
      <c r="A43" s="3" t="s">
        <v>118</v>
      </c>
      <c r="B43" s="5">
        <v>8.5099999999999995E-2</v>
      </c>
      <c r="C43" s="5">
        <v>0.16139999999999999</v>
      </c>
      <c r="D43" s="5">
        <v>-4.1000000000000003E-3</v>
      </c>
      <c r="E43" s="5">
        <v>0.1341</v>
      </c>
      <c r="F43" s="5">
        <v>0.1399</v>
      </c>
      <c r="G43" s="5">
        <v>0.13120000000000001</v>
      </c>
      <c r="H43" s="5">
        <v>0.1714</v>
      </c>
      <c r="I43" s="5">
        <v>0.14680000000000001</v>
      </c>
      <c r="J43" s="5">
        <v>0.1406</v>
      </c>
      <c r="K43" s="5">
        <v>0.13700000000000001</v>
      </c>
      <c r="L43" s="5">
        <v>0.16170000000000001</v>
      </c>
      <c r="M43" s="5">
        <v>0.14949999999999999</v>
      </c>
      <c r="N43" s="5">
        <v>0.1255</v>
      </c>
      <c r="O43" s="5">
        <v>0.1246</v>
      </c>
      <c r="P43" s="5">
        <v>0.16139999999999999</v>
      </c>
      <c r="Q43" s="5">
        <v>0.15809999999999999</v>
      </c>
      <c r="R43" s="5">
        <v>0.1075</v>
      </c>
      <c r="S43" s="5">
        <v>0.1037</v>
      </c>
      <c r="T43" s="5">
        <v>0.1452</v>
      </c>
      <c r="U43" s="5">
        <v>7.6300000000000007E-2</v>
      </c>
      <c r="V43" s="3" t="s">
        <v>65</v>
      </c>
    </row>
    <row r="44" spans="1:22" x14ac:dyDescent="0.2">
      <c r="A44" s="3" t="s">
        <v>119</v>
      </c>
      <c r="B44" s="3">
        <v>11.96</v>
      </c>
      <c r="C44" s="3">
        <v>12.2</v>
      </c>
      <c r="D44" s="3">
        <v>12.19</v>
      </c>
      <c r="E44" s="3">
        <v>11.84</v>
      </c>
      <c r="F44" s="3">
        <v>10.38</v>
      </c>
      <c r="G44" s="3">
        <v>11.57</v>
      </c>
      <c r="H44" s="3">
        <v>11.59</v>
      </c>
      <c r="I44" s="3">
        <v>10.89</v>
      </c>
      <c r="J44" s="3">
        <v>8.44</v>
      </c>
      <c r="K44" s="3">
        <v>10.49</v>
      </c>
      <c r="L44" s="3">
        <v>10.42</v>
      </c>
      <c r="M44" s="3">
        <v>10.47</v>
      </c>
      <c r="N44" s="3">
        <v>8.2799999999999994</v>
      </c>
      <c r="O44" s="3">
        <v>10.28</v>
      </c>
      <c r="P44" s="3">
        <v>10.5</v>
      </c>
      <c r="Q44" s="3">
        <v>10.47</v>
      </c>
      <c r="R44" s="3">
        <v>3.31</v>
      </c>
      <c r="S44" s="3">
        <v>6.99</v>
      </c>
      <c r="T44" s="3">
        <v>7.13</v>
      </c>
      <c r="U44" s="3">
        <v>7.08</v>
      </c>
      <c r="V44" s="3" t="s">
        <v>65</v>
      </c>
    </row>
    <row r="45" spans="1:22" x14ac:dyDescent="0.2">
      <c r="A45" s="3" t="s">
        <v>3</v>
      </c>
      <c r="B45" s="3">
        <v>9.0500000000000007</v>
      </c>
      <c r="C45" s="3">
        <v>25.59</v>
      </c>
      <c r="D45" s="3">
        <v>-13.19</v>
      </c>
      <c r="E45" s="3">
        <v>20.309999999999999</v>
      </c>
      <c r="F45" s="3">
        <v>26.76</v>
      </c>
      <c r="G45" s="3">
        <v>21.77</v>
      </c>
      <c r="H45" s="3">
        <v>32.69</v>
      </c>
      <c r="I45" s="3">
        <v>23.68</v>
      </c>
      <c r="J45" s="3">
        <v>27.25</v>
      </c>
      <c r="K45" s="3">
        <v>21.08</v>
      </c>
      <c r="L45" s="3">
        <v>27.05</v>
      </c>
      <c r="M45" s="3">
        <v>22.45</v>
      </c>
      <c r="N45" s="3">
        <v>23.53</v>
      </c>
      <c r="O45" s="3">
        <v>16.649999999999999</v>
      </c>
      <c r="P45" s="3">
        <v>25.6</v>
      </c>
      <c r="Q45" s="3">
        <v>23.28</v>
      </c>
      <c r="R45" s="3">
        <v>16.7</v>
      </c>
      <c r="S45" s="3">
        <v>10.29</v>
      </c>
      <c r="T45" s="3">
        <v>15.78</v>
      </c>
      <c r="U45" s="3">
        <v>3.53</v>
      </c>
      <c r="V45" s="3" t="s">
        <v>65</v>
      </c>
    </row>
    <row r="46" spans="1:22" x14ac:dyDescent="0.2">
      <c r="A46" s="3" t="s">
        <v>120</v>
      </c>
      <c r="B46" s="5">
        <v>3.6700000000000003E-2</v>
      </c>
      <c r="C46" s="5">
        <v>0.10929999999999999</v>
      </c>
      <c r="D46" s="5">
        <v>-5.4399999999999997E-2</v>
      </c>
      <c r="E46" s="5">
        <v>8.4699999999999998E-2</v>
      </c>
      <c r="F46" s="5">
        <v>0.1008</v>
      </c>
      <c r="G46" s="5">
        <v>8.5699999999999998E-2</v>
      </c>
      <c r="H46" s="5">
        <v>0.1265</v>
      </c>
      <c r="I46" s="5">
        <v>0.10059999999999999</v>
      </c>
      <c r="J46" s="5">
        <v>0.1074</v>
      </c>
      <c r="K46" s="5">
        <v>9.1499999999999998E-2</v>
      </c>
      <c r="L46" s="5">
        <v>0.1167</v>
      </c>
      <c r="M46" s="5">
        <v>0.1019</v>
      </c>
      <c r="N46" s="5">
        <v>9.2899999999999996E-2</v>
      </c>
      <c r="O46" s="5">
        <v>7.6999999999999999E-2</v>
      </c>
      <c r="P46" s="5">
        <v>0.1145</v>
      </c>
      <c r="Q46" s="5">
        <v>0.1091</v>
      </c>
      <c r="R46" s="5">
        <v>8.9700000000000002E-2</v>
      </c>
      <c r="S46" s="5">
        <v>6.1699999999999998E-2</v>
      </c>
      <c r="T46" s="5">
        <v>0.1</v>
      </c>
      <c r="U46" s="5">
        <v>2.5399999999999999E-2</v>
      </c>
      <c r="V46" s="3" t="s">
        <v>65</v>
      </c>
    </row>
    <row r="47" spans="1:22" x14ac:dyDescent="0.2">
      <c r="A47" s="3" t="s">
        <v>121</v>
      </c>
      <c r="B47" s="3" t="s">
        <v>12</v>
      </c>
      <c r="C47" s="5">
        <v>0.3276</v>
      </c>
      <c r="D47" s="3" t="s">
        <v>12</v>
      </c>
      <c r="E47" s="5">
        <v>0.28389999999999999</v>
      </c>
      <c r="F47" s="5">
        <v>0.17449999999999999</v>
      </c>
      <c r="G47" s="5">
        <v>0.2868</v>
      </c>
      <c r="H47" s="5">
        <v>0.24390000000000001</v>
      </c>
      <c r="I47" s="5">
        <v>0.26790000000000003</v>
      </c>
      <c r="J47" s="5">
        <v>0.35049999999999998</v>
      </c>
      <c r="K47" s="5">
        <v>0.28100000000000003</v>
      </c>
      <c r="L47" s="5">
        <v>0.25979999999999998</v>
      </c>
      <c r="M47" s="5">
        <v>0.51449999999999996</v>
      </c>
      <c r="N47" s="5">
        <v>0.34229999999999999</v>
      </c>
      <c r="O47" s="5">
        <v>9.7299999999999998E-2</v>
      </c>
      <c r="P47" s="5">
        <v>0.2117</v>
      </c>
      <c r="Q47" s="3" t="s">
        <v>12</v>
      </c>
      <c r="R47" s="5">
        <v>0.1244</v>
      </c>
      <c r="S47" s="5">
        <v>8.5400000000000004E-2</v>
      </c>
      <c r="T47" s="3" t="s">
        <v>12</v>
      </c>
      <c r="U47" s="3" t="s">
        <v>12</v>
      </c>
      <c r="V47" s="3" t="s">
        <v>65</v>
      </c>
    </row>
    <row r="56" spans="1:22" x14ac:dyDescent="0.2">
      <c r="A56" s="1" t="s">
        <v>100</v>
      </c>
      <c r="B56" s="1" t="s">
        <v>490</v>
      </c>
      <c r="C56" s="1" t="s">
        <v>484</v>
      </c>
      <c r="D56" s="1" t="s">
        <v>485</v>
      </c>
      <c r="E56" s="1" t="s">
        <v>432</v>
      </c>
      <c r="F56" s="1" t="s">
        <v>101</v>
      </c>
      <c r="G56" s="1" t="s">
        <v>102</v>
      </c>
      <c r="H56" s="1" t="s">
        <v>180</v>
      </c>
      <c r="I56" s="1" t="s">
        <v>181</v>
      </c>
      <c r="J56" s="1" t="s">
        <v>103</v>
      </c>
      <c r="K56" s="1" t="s">
        <v>182</v>
      </c>
      <c r="L56" s="1" t="s">
        <v>183</v>
      </c>
      <c r="M56" s="1" t="s">
        <v>184</v>
      </c>
      <c r="N56" s="1" t="s">
        <v>104</v>
      </c>
      <c r="O56" s="1" t="s">
        <v>185</v>
      </c>
      <c r="P56" s="1" t="s">
        <v>186</v>
      </c>
      <c r="Q56" s="1" t="s">
        <v>187</v>
      </c>
      <c r="R56" s="1" t="s">
        <v>105</v>
      </c>
      <c r="S56" s="1" t="s">
        <v>188</v>
      </c>
      <c r="T56" s="1" t="s">
        <v>189</v>
      </c>
      <c r="U56" s="1" t="s">
        <v>190</v>
      </c>
      <c r="V56" s="1" t="s">
        <v>476</v>
      </c>
    </row>
    <row r="57" spans="1:22" ht="30" x14ac:dyDescent="0.2">
      <c r="A57" s="1" t="s">
        <v>10</v>
      </c>
      <c r="B57" s="1" t="s">
        <v>433</v>
      </c>
      <c r="C57" s="1" t="s">
        <v>413</v>
      </c>
      <c r="D57" s="1" t="s">
        <v>414</v>
      </c>
      <c r="E57" s="1" t="s">
        <v>405</v>
      </c>
      <c r="F57" s="1" t="s">
        <v>406</v>
      </c>
      <c r="G57" s="1" t="s">
        <v>404</v>
      </c>
      <c r="H57" s="1" t="s">
        <v>415</v>
      </c>
      <c r="I57" s="1" t="s">
        <v>408</v>
      </c>
      <c r="J57" s="1" t="s">
        <v>416</v>
      </c>
      <c r="K57" s="1" t="s">
        <v>417</v>
      </c>
      <c r="L57" s="1" t="s">
        <v>418</v>
      </c>
      <c r="M57" s="1" t="s">
        <v>409</v>
      </c>
      <c r="N57" s="1" t="s">
        <v>419</v>
      </c>
      <c r="O57" s="1" t="s">
        <v>420</v>
      </c>
      <c r="P57" s="1" t="s">
        <v>421</v>
      </c>
      <c r="Q57" s="1" t="s">
        <v>410</v>
      </c>
      <c r="R57" s="1" t="s">
        <v>422</v>
      </c>
      <c r="S57" s="1" t="s">
        <v>423</v>
      </c>
      <c r="T57" s="1" t="s">
        <v>424</v>
      </c>
      <c r="U57" s="1" t="s">
        <v>411</v>
      </c>
      <c r="V57" s="1" t="s">
        <v>476</v>
      </c>
    </row>
    <row r="58" spans="1:22" x14ac:dyDescent="0.2">
      <c r="A58" s="3" t="s">
        <v>11</v>
      </c>
      <c r="B58" s="3">
        <v>53.68</v>
      </c>
      <c r="C58" s="3">
        <v>41.22</v>
      </c>
      <c r="D58" s="3">
        <v>55.68</v>
      </c>
      <c r="E58" s="3">
        <v>68.37</v>
      </c>
      <c r="F58" s="3">
        <v>114.13</v>
      </c>
      <c r="G58" s="3">
        <v>102.95</v>
      </c>
      <c r="H58" s="3">
        <v>99.06</v>
      </c>
      <c r="I58" s="3">
        <v>106.99</v>
      </c>
      <c r="J58" s="3">
        <v>133.18</v>
      </c>
      <c r="K58" s="3">
        <v>81.52</v>
      </c>
      <c r="L58" s="3">
        <v>88.87</v>
      </c>
      <c r="M58" s="3">
        <v>85.66</v>
      </c>
      <c r="N58" s="3">
        <v>115.39</v>
      </c>
      <c r="O58" s="3">
        <v>106.7</v>
      </c>
      <c r="P58" s="3">
        <v>105.31</v>
      </c>
      <c r="Q58" s="3">
        <v>88.65</v>
      </c>
      <c r="R58" s="3">
        <v>202.13</v>
      </c>
      <c r="S58" s="3">
        <v>187.63</v>
      </c>
      <c r="T58" s="3">
        <v>186.56</v>
      </c>
      <c r="U58" s="3">
        <v>152.24</v>
      </c>
      <c r="V58" s="3" t="s">
        <v>65</v>
      </c>
    </row>
    <row r="59" spans="1:22" x14ac:dyDescent="0.2">
      <c r="A59" s="3" t="s">
        <v>489</v>
      </c>
      <c r="B59" s="3" t="s">
        <v>12</v>
      </c>
      <c r="C59" s="3">
        <v>1.4</v>
      </c>
      <c r="D59" s="3">
        <v>2.4900000000000002</v>
      </c>
      <c r="E59" s="3">
        <v>5.8</v>
      </c>
      <c r="F59" s="3">
        <v>7.5</v>
      </c>
      <c r="G59" s="3">
        <v>7.5</v>
      </c>
      <c r="H59" s="3">
        <v>9.4600000000000009</v>
      </c>
      <c r="I59" s="3">
        <v>9.6300000000000008</v>
      </c>
      <c r="J59" s="3">
        <v>7.64</v>
      </c>
      <c r="K59" s="3">
        <v>8.27</v>
      </c>
      <c r="L59" s="3">
        <v>6.99</v>
      </c>
      <c r="M59" s="3">
        <v>3.93</v>
      </c>
      <c r="N59" s="3">
        <v>0.86</v>
      </c>
      <c r="O59" s="3">
        <v>0.05</v>
      </c>
      <c r="P59" s="3" t="s">
        <v>12</v>
      </c>
      <c r="Q59" s="3" t="s">
        <v>12</v>
      </c>
      <c r="R59" s="3" t="s">
        <v>12</v>
      </c>
      <c r="S59" s="3" t="s">
        <v>12</v>
      </c>
      <c r="T59" s="3" t="s">
        <v>12</v>
      </c>
      <c r="U59" s="3" t="s">
        <v>12</v>
      </c>
      <c r="V59" s="3" t="s">
        <v>65</v>
      </c>
    </row>
    <row r="60" spans="1:22" x14ac:dyDescent="0.2">
      <c r="A60" s="3" t="s">
        <v>122</v>
      </c>
      <c r="B60" s="3">
        <v>53.68</v>
      </c>
      <c r="C60" s="3">
        <v>42.62</v>
      </c>
      <c r="D60" s="3">
        <v>58.18</v>
      </c>
      <c r="E60" s="3">
        <v>74.17</v>
      </c>
      <c r="F60" s="3">
        <v>121.63</v>
      </c>
      <c r="G60" s="3">
        <v>110.45</v>
      </c>
      <c r="H60" s="3">
        <v>108.52</v>
      </c>
      <c r="I60" s="3">
        <v>116.63</v>
      </c>
      <c r="J60" s="3">
        <v>140.82</v>
      </c>
      <c r="K60" s="3">
        <v>89.79</v>
      </c>
      <c r="L60" s="3">
        <v>95.86</v>
      </c>
      <c r="M60" s="3">
        <v>89.59</v>
      </c>
      <c r="N60" s="3">
        <v>116.25</v>
      </c>
      <c r="O60" s="3">
        <v>106.75</v>
      </c>
      <c r="P60" s="3">
        <v>105.31</v>
      </c>
      <c r="Q60" s="3">
        <v>88.65</v>
      </c>
      <c r="R60" s="3">
        <v>202.13</v>
      </c>
      <c r="S60" s="3">
        <v>187.63</v>
      </c>
      <c r="T60" s="3">
        <v>186.56</v>
      </c>
      <c r="U60" s="3">
        <v>152.24</v>
      </c>
      <c r="V60" s="3" t="s">
        <v>65</v>
      </c>
    </row>
    <row r="61" spans="1:22" x14ac:dyDescent="0.2">
      <c r="A61" s="3" t="s">
        <v>194</v>
      </c>
      <c r="B61" s="5">
        <v>-0.55859999999999999</v>
      </c>
      <c r="C61" s="5">
        <v>-0.61409999999999998</v>
      </c>
      <c r="D61" s="5">
        <v>-0.46389999999999998</v>
      </c>
      <c r="E61" s="5">
        <v>-0.36399999999999999</v>
      </c>
      <c r="F61" s="5">
        <v>-0.1363</v>
      </c>
      <c r="G61" s="5">
        <v>0.2301</v>
      </c>
      <c r="H61" s="5">
        <v>0.1321</v>
      </c>
      <c r="I61" s="5">
        <v>0.30180000000000001</v>
      </c>
      <c r="J61" s="5">
        <v>0.2114</v>
      </c>
      <c r="K61" s="5">
        <v>-0.15890000000000001</v>
      </c>
      <c r="L61" s="5">
        <v>-8.9800000000000005E-2</v>
      </c>
      <c r="M61" s="5">
        <v>1.0500000000000001E-2</v>
      </c>
      <c r="N61" s="5">
        <v>-0.4249</v>
      </c>
      <c r="O61" s="5">
        <v>-0.43099999999999999</v>
      </c>
      <c r="P61" s="5">
        <v>-0.4355</v>
      </c>
      <c r="Q61" s="5">
        <v>-0.41770000000000002</v>
      </c>
      <c r="R61" s="5">
        <v>0.7661</v>
      </c>
      <c r="S61" s="5">
        <v>1.2333000000000001</v>
      </c>
      <c r="T61" s="5">
        <v>1.5918000000000001</v>
      </c>
      <c r="U61" s="5">
        <v>1.7323999999999999</v>
      </c>
      <c r="V61" s="3" t="s">
        <v>65</v>
      </c>
    </row>
    <row r="62" spans="1:22" x14ac:dyDescent="0.2">
      <c r="A62" s="3" t="s">
        <v>123</v>
      </c>
      <c r="B62" s="3">
        <v>165.48</v>
      </c>
      <c r="C62" s="3">
        <v>170.96</v>
      </c>
      <c r="D62" s="3">
        <v>179.17</v>
      </c>
      <c r="E62" s="3">
        <v>171.18</v>
      </c>
      <c r="F62" s="3">
        <v>173.85</v>
      </c>
      <c r="G62" s="3">
        <v>174.91</v>
      </c>
      <c r="H62" s="3">
        <v>169.16</v>
      </c>
      <c r="I62" s="3">
        <v>166.76</v>
      </c>
      <c r="J62" s="3">
        <v>153.79</v>
      </c>
      <c r="K62" s="3">
        <v>149.44</v>
      </c>
      <c r="L62" s="3">
        <v>143.85</v>
      </c>
      <c r="M62" s="3">
        <v>137.65</v>
      </c>
      <c r="N62" s="3">
        <v>149.93</v>
      </c>
      <c r="O62" s="3">
        <v>128.44</v>
      </c>
      <c r="P62" s="3">
        <v>127.49</v>
      </c>
      <c r="Q62" s="3">
        <v>126.95</v>
      </c>
      <c r="R62" s="3">
        <v>114.02</v>
      </c>
      <c r="S62" s="3">
        <v>99.04</v>
      </c>
      <c r="T62" s="3">
        <v>96.32</v>
      </c>
      <c r="U62" s="3">
        <v>99.85</v>
      </c>
      <c r="V62" s="3" t="s">
        <v>65</v>
      </c>
    </row>
    <row r="63" spans="1:22" x14ac:dyDescent="0.2">
      <c r="A63" s="3" t="s">
        <v>124</v>
      </c>
      <c r="B63" s="3">
        <v>198.6</v>
      </c>
      <c r="C63" s="3">
        <v>200.69</v>
      </c>
      <c r="D63" s="3">
        <v>201.04</v>
      </c>
      <c r="E63" s="3">
        <v>200.89</v>
      </c>
      <c r="F63" s="3">
        <v>186.09</v>
      </c>
      <c r="G63" s="3">
        <v>204.4</v>
      </c>
      <c r="H63" s="3">
        <v>205</v>
      </c>
      <c r="I63" s="3">
        <v>204.75</v>
      </c>
      <c r="J63" s="3">
        <v>179.36</v>
      </c>
      <c r="K63" s="3">
        <v>200.65</v>
      </c>
      <c r="L63" s="3">
        <v>192.79</v>
      </c>
      <c r="M63" s="3">
        <v>189.32</v>
      </c>
      <c r="N63" s="3">
        <v>172.14</v>
      </c>
      <c r="O63" s="3">
        <v>175.1</v>
      </c>
      <c r="P63" s="3">
        <v>147.93</v>
      </c>
      <c r="Q63" s="3">
        <v>138.66</v>
      </c>
      <c r="R63" s="3">
        <v>111.49</v>
      </c>
      <c r="S63" s="3">
        <v>113.45</v>
      </c>
      <c r="T63" s="3">
        <v>112.1</v>
      </c>
      <c r="U63" s="3">
        <v>124.57</v>
      </c>
      <c r="V63" s="3" t="s">
        <v>65</v>
      </c>
    </row>
    <row r="64" spans="1:22" x14ac:dyDescent="0.2">
      <c r="A64" s="3" t="s">
        <v>428</v>
      </c>
      <c r="B64" s="3">
        <v>48.01</v>
      </c>
      <c r="C64" s="3">
        <v>25.13</v>
      </c>
      <c r="D64" s="3">
        <v>29.29</v>
      </c>
      <c r="E64" s="3">
        <v>31.72</v>
      </c>
      <c r="F64" s="3">
        <v>32.340000000000003</v>
      </c>
      <c r="G64" s="3">
        <v>26.64</v>
      </c>
      <c r="H64" s="3">
        <v>27.77</v>
      </c>
      <c r="I64" s="3">
        <v>26.09</v>
      </c>
      <c r="J64" s="3">
        <v>22.1</v>
      </c>
      <c r="K64" s="3">
        <v>23.03</v>
      </c>
      <c r="L64" s="3">
        <v>24.33</v>
      </c>
      <c r="M64" s="3">
        <v>25.04</v>
      </c>
      <c r="N64" s="3">
        <v>28.28</v>
      </c>
      <c r="O64" s="3">
        <v>30.8</v>
      </c>
      <c r="P64" s="3">
        <v>26.88</v>
      </c>
      <c r="Q64" s="3">
        <v>27.91</v>
      </c>
      <c r="R64" s="3">
        <v>14.2</v>
      </c>
      <c r="S64" s="3">
        <v>13.98</v>
      </c>
      <c r="T64" s="3">
        <v>14.12</v>
      </c>
      <c r="U64" s="3">
        <v>14.9</v>
      </c>
      <c r="V64" s="3" t="s">
        <v>65</v>
      </c>
    </row>
    <row r="65" spans="1:22" x14ac:dyDescent="0.2">
      <c r="A65" s="3" t="s">
        <v>125</v>
      </c>
      <c r="B65" s="3" t="s">
        <v>12</v>
      </c>
      <c r="C65" s="3">
        <v>1.04</v>
      </c>
      <c r="D65" s="3">
        <v>7.0000000000000007E-2</v>
      </c>
      <c r="E65" s="3">
        <v>0.35</v>
      </c>
      <c r="F65" s="3">
        <v>0.26</v>
      </c>
      <c r="G65" s="3">
        <v>0.02</v>
      </c>
      <c r="H65" s="3">
        <v>0.75</v>
      </c>
      <c r="I65" s="3">
        <v>0.01</v>
      </c>
      <c r="J65" s="3">
        <v>0.17</v>
      </c>
      <c r="K65" s="3">
        <v>0.7</v>
      </c>
      <c r="L65" s="3">
        <v>2.67</v>
      </c>
      <c r="M65" s="3">
        <v>1.03</v>
      </c>
      <c r="N65" s="3" t="s">
        <v>12</v>
      </c>
      <c r="O65" s="3">
        <v>0.03</v>
      </c>
      <c r="P65" s="3">
        <v>0.01</v>
      </c>
      <c r="Q65" s="3" t="s">
        <v>12</v>
      </c>
      <c r="R65" s="3" t="s">
        <v>12</v>
      </c>
      <c r="S65" s="3">
        <v>0.01</v>
      </c>
      <c r="T65" s="3">
        <v>0.22</v>
      </c>
      <c r="U65" s="3">
        <v>1.37</v>
      </c>
      <c r="V65" s="3" t="s">
        <v>65</v>
      </c>
    </row>
    <row r="66" spans="1:22" x14ac:dyDescent="0.2">
      <c r="A66" s="3" t="s">
        <v>126</v>
      </c>
      <c r="B66" s="3">
        <v>465.77</v>
      </c>
      <c r="C66" s="3">
        <v>440.44</v>
      </c>
      <c r="D66" s="3">
        <v>467.75</v>
      </c>
      <c r="E66" s="3">
        <v>478.31</v>
      </c>
      <c r="F66" s="3">
        <v>514.16</v>
      </c>
      <c r="G66" s="3">
        <v>516.41</v>
      </c>
      <c r="H66" s="3">
        <v>511.19</v>
      </c>
      <c r="I66" s="3">
        <v>514.23</v>
      </c>
      <c r="J66" s="3">
        <v>496.24</v>
      </c>
      <c r="K66" s="3">
        <v>463.61</v>
      </c>
      <c r="L66" s="3">
        <v>459.49</v>
      </c>
      <c r="M66" s="3">
        <v>442.64</v>
      </c>
      <c r="N66" s="3">
        <v>466.59</v>
      </c>
      <c r="O66" s="3">
        <v>441.13</v>
      </c>
      <c r="P66" s="3">
        <v>407.61</v>
      </c>
      <c r="Q66" s="3">
        <v>382.18</v>
      </c>
      <c r="R66" s="3">
        <v>441.84</v>
      </c>
      <c r="S66" s="3">
        <v>414.1</v>
      </c>
      <c r="T66" s="3">
        <v>409.32</v>
      </c>
      <c r="U66" s="3">
        <v>392.93</v>
      </c>
      <c r="V66" s="3" t="s">
        <v>65</v>
      </c>
    </row>
    <row r="67" spans="1:22" x14ac:dyDescent="0.2">
      <c r="A67" s="3" t="s">
        <v>127</v>
      </c>
      <c r="B67" s="3">
        <v>106.16</v>
      </c>
      <c r="C67" s="3">
        <v>167.67</v>
      </c>
      <c r="D67" s="3">
        <v>171.59</v>
      </c>
      <c r="E67" s="3">
        <v>174.63</v>
      </c>
      <c r="F67" s="3">
        <v>171.98</v>
      </c>
      <c r="G67" s="3">
        <v>168.15</v>
      </c>
      <c r="H67" s="3">
        <v>152.85</v>
      </c>
      <c r="I67" s="3">
        <v>154.53</v>
      </c>
      <c r="J67" s="3">
        <v>147.91</v>
      </c>
      <c r="K67" s="3">
        <v>127.06</v>
      </c>
      <c r="L67" s="3">
        <v>121.05</v>
      </c>
      <c r="M67" s="3">
        <v>123.85</v>
      </c>
      <c r="N67" s="3">
        <v>128.74</v>
      </c>
      <c r="O67" s="3">
        <v>129.4</v>
      </c>
      <c r="P67" s="3">
        <v>128.55000000000001</v>
      </c>
      <c r="Q67" s="3">
        <v>133.38</v>
      </c>
      <c r="R67" s="3">
        <v>108.93</v>
      </c>
      <c r="S67" s="3">
        <v>108.61</v>
      </c>
      <c r="T67" s="3">
        <v>109.94</v>
      </c>
      <c r="U67" s="3">
        <v>113.75</v>
      </c>
      <c r="V67" s="3" t="s">
        <v>65</v>
      </c>
    </row>
    <row r="68" spans="1:22" x14ac:dyDescent="0.2">
      <c r="A68" s="3" t="s">
        <v>479</v>
      </c>
      <c r="B68" s="3">
        <v>10.11</v>
      </c>
      <c r="C68" s="3">
        <v>14.99</v>
      </c>
      <c r="D68" s="3">
        <v>14.43</v>
      </c>
      <c r="E68" s="3">
        <v>14.33</v>
      </c>
      <c r="F68" s="3">
        <v>14.82</v>
      </c>
      <c r="G68" s="3">
        <v>15.95</v>
      </c>
      <c r="H68" s="3">
        <v>16.63</v>
      </c>
      <c r="I68" s="3">
        <v>16.79</v>
      </c>
      <c r="J68" s="3">
        <v>16.34</v>
      </c>
      <c r="K68" s="3">
        <v>17.97</v>
      </c>
      <c r="L68" s="3">
        <v>19.309999999999999</v>
      </c>
      <c r="M68" s="3">
        <v>16.829999999999998</v>
      </c>
      <c r="N68" s="3">
        <v>17.57</v>
      </c>
      <c r="O68" s="3">
        <v>11.4</v>
      </c>
      <c r="P68" s="3">
        <v>13.55</v>
      </c>
      <c r="Q68" s="3">
        <v>13.39</v>
      </c>
      <c r="R68" s="3">
        <v>11.01</v>
      </c>
      <c r="S68" s="3">
        <v>10.91</v>
      </c>
      <c r="T68" s="3">
        <v>11.23</v>
      </c>
      <c r="U68" s="3">
        <v>11.17</v>
      </c>
      <c r="V68" s="3" t="s">
        <v>65</v>
      </c>
    </row>
    <row r="69" spans="1:22" x14ac:dyDescent="0.2">
      <c r="A69" s="3" t="s">
        <v>195</v>
      </c>
      <c r="B69" s="3">
        <v>710.81</v>
      </c>
      <c r="C69" s="3">
        <v>700.55</v>
      </c>
      <c r="D69" s="3">
        <v>717.98</v>
      </c>
      <c r="E69" s="3">
        <v>708.57</v>
      </c>
      <c r="F69" s="3">
        <v>710.33</v>
      </c>
      <c r="G69" s="3">
        <v>728.43</v>
      </c>
      <c r="H69" s="3">
        <v>717.57</v>
      </c>
      <c r="I69" s="3">
        <v>731.95</v>
      </c>
      <c r="J69" s="3">
        <v>644.63</v>
      </c>
      <c r="K69" s="3">
        <v>642.42999999999995</v>
      </c>
      <c r="L69" s="3">
        <v>627.85</v>
      </c>
      <c r="M69" s="3">
        <v>640.97</v>
      </c>
      <c r="N69" s="3">
        <v>648.85</v>
      </c>
      <c r="O69" s="3">
        <v>657.08</v>
      </c>
      <c r="P69" s="3">
        <v>615.33000000000004</v>
      </c>
      <c r="Q69" s="3">
        <v>621.94000000000005</v>
      </c>
      <c r="R69" s="3">
        <v>331.18</v>
      </c>
      <c r="S69" s="3">
        <v>339</v>
      </c>
      <c r="T69" s="3">
        <v>330.86</v>
      </c>
      <c r="U69" s="3">
        <v>322.91000000000003</v>
      </c>
      <c r="V69" s="3" t="s">
        <v>65</v>
      </c>
    </row>
    <row r="70" spans="1:22" x14ac:dyDescent="0.2">
      <c r="A70" s="3" t="s">
        <v>392</v>
      </c>
      <c r="B70" s="3">
        <v>356.56</v>
      </c>
      <c r="C70" s="3">
        <v>358.15</v>
      </c>
      <c r="D70" s="3">
        <v>375.6</v>
      </c>
      <c r="E70" s="3">
        <v>377.55</v>
      </c>
      <c r="F70" s="3">
        <v>385.63</v>
      </c>
      <c r="G70" s="3">
        <v>396.32</v>
      </c>
      <c r="H70" s="3">
        <v>397.39</v>
      </c>
      <c r="I70" s="3">
        <v>409.54</v>
      </c>
      <c r="J70" s="3">
        <v>362.54</v>
      </c>
      <c r="K70" s="3">
        <v>367.66</v>
      </c>
      <c r="L70" s="3">
        <v>365.21</v>
      </c>
      <c r="M70" s="3">
        <v>378.4</v>
      </c>
      <c r="N70" s="3">
        <v>390.79</v>
      </c>
      <c r="O70" s="3">
        <v>400.56</v>
      </c>
      <c r="P70" s="3">
        <v>392.7</v>
      </c>
      <c r="Q70" s="3">
        <v>401.86</v>
      </c>
      <c r="R70" s="3">
        <v>213.36</v>
      </c>
      <c r="S70" s="3">
        <v>221.74</v>
      </c>
      <c r="T70" s="3">
        <v>219.43</v>
      </c>
      <c r="U70" s="3">
        <v>217.11</v>
      </c>
      <c r="V70" s="3" t="s">
        <v>65</v>
      </c>
    </row>
    <row r="71" spans="1:22" x14ac:dyDescent="0.2">
      <c r="A71" s="3" t="s">
        <v>430</v>
      </c>
      <c r="B71" s="3">
        <v>2.9</v>
      </c>
      <c r="C71" s="3">
        <v>1.52</v>
      </c>
      <c r="D71" s="3">
        <v>1.37</v>
      </c>
      <c r="E71" s="3">
        <v>1.6</v>
      </c>
      <c r="F71" s="3">
        <v>1.8</v>
      </c>
      <c r="G71" s="3">
        <v>1.99</v>
      </c>
      <c r="H71" s="3">
        <v>2.21</v>
      </c>
      <c r="I71" s="3">
        <v>2.15</v>
      </c>
      <c r="J71" s="3">
        <v>2.04</v>
      </c>
      <c r="K71" s="3">
        <v>1.57</v>
      </c>
      <c r="L71" s="3">
        <v>2.27</v>
      </c>
      <c r="M71" s="3">
        <v>2.15</v>
      </c>
      <c r="N71" s="3">
        <v>2.31</v>
      </c>
      <c r="O71" s="3">
        <v>2.14</v>
      </c>
      <c r="P71" s="3">
        <v>1.96</v>
      </c>
      <c r="Q71" s="3">
        <v>1.1599999999999999</v>
      </c>
      <c r="R71" s="3">
        <v>20.079999999999998</v>
      </c>
      <c r="S71" s="3">
        <v>27.78</v>
      </c>
      <c r="T71" s="3">
        <v>27.8</v>
      </c>
      <c r="U71" s="3">
        <v>26.04</v>
      </c>
      <c r="V71" s="3" t="s">
        <v>65</v>
      </c>
    </row>
    <row r="72" spans="1:22" x14ac:dyDescent="0.2">
      <c r="A72" s="3" t="s">
        <v>494</v>
      </c>
      <c r="B72" s="3" t="s">
        <v>12</v>
      </c>
      <c r="C72" s="3">
        <v>1.36</v>
      </c>
      <c r="D72" s="3">
        <v>8.02</v>
      </c>
      <c r="E72" s="3">
        <v>1.9</v>
      </c>
      <c r="F72" s="3">
        <v>2.17</v>
      </c>
      <c r="G72" s="3">
        <v>2.44</v>
      </c>
      <c r="H72" s="3">
        <v>2.71</v>
      </c>
      <c r="I72" s="3">
        <v>2.98</v>
      </c>
      <c r="J72" s="3">
        <v>2.42</v>
      </c>
      <c r="K72" s="3">
        <v>2.62</v>
      </c>
      <c r="L72" s="3">
        <v>2.82</v>
      </c>
      <c r="M72" s="3">
        <v>3.02</v>
      </c>
      <c r="N72" s="3">
        <v>3.22</v>
      </c>
      <c r="O72" s="3">
        <v>3.42</v>
      </c>
      <c r="P72" s="3">
        <v>3.62</v>
      </c>
      <c r="Q72" s="3">
        <v>3.83</v>
      </c>
      <c r="R72" s="3">
        <v>1.3</v>
      </c>
      <c r="S72" s="3">
        <v>1.44</v>
      </c>
      <c r="T72" s="3">
        <v>1.57</v>
      </c>
      <c r="U72" s="3">
        <v>0.88</v>
      </c>
      <c r="V72" s="3" t="s">
        <v>65</v>
      </c>
    </row>
    <row r="73" spans="1:22" x14ac:dyDescent="0.2">
      <c r="A73" s="3" t="s">
        <v>128</v>
      </c>
      <c r="B73" s="3">
        <v>86.47</v>
      </c>
      <c r="C73" s="3">
        <v>26.23</v>
      </c>
      <c r="D73" s="3">
        <v>20.16</v>
      </c>
      <c r="E73" s="3">
        <v>24.76</v>
      </c>
      <c r="F73" s="3">
        <v>25.05</v>
      </c>
      <c r="G73" s="3">
        <v>27.62</v>
      </c>
      <c r="H73" s="3">
        <v>26.84</v>
      </c>
      <c r="I73" s="3">
        <v>27.35</v>
      </c>
      <c r="J73" s="3">
        <v>26.35</v>
      </c>
      <c r="K73" s="3">
        <v>26.52</v>
      </c>
      <c r="L73" s="3">
        <v>31.31</v>
      </c>
      <c r="M73" s="3">
        <v>26.87</v>
      </c>
      <c r="N73" s="3">
        <v>27.64</v>
      </c>
      <c r="O73" s="3">
        <v>26.34</v>
      </c>
      <c r="P73" s="3">
        <v>22.65</v>
      </c>
      <c r="Q73" s="3">
        <v>22.91</v>
      </c>
      <c r="R73" s="3">
        <v>22.73</v>
      </c>
      <c r="S73" s="3">
        <v>23.82</v>
      </c>
      <c r="T73" s="3">
        <v>21.79</v>
      </c>
      <c r="U73" s="3">
        <v>17.79</v>
      </c>
      <c r="V73" s="3" t="s">
        <v>65</v>
      </c>
    </row>
    <row r="74" spans="1:22" x14ac:dyDescent="0.2">
      <c r="A74" s="3" t="s">
        <v>129</v>
      </c>
      <c r="B74" s="4">
        <v>1739</v>
      </c>
      <c r="C74" s="4">
        <v>1711</v>
      </c>
      <c r="D74" s="4">
        <v>1777</v>
      </c>
      <c r="E74" s="4">
        <v>1782</v>
      </c>
      <c r="F74" s="4">
        <v>1826</v>
      </c>
      <c r="G74" s="4">
        <v>1857</v>
      </c>
      <c r="H74" s="4">
        <v>1827</v>
      </c>
      <c r="I74" s="4">
        <v>1860</v>
      </c>
      <c r="J74" s="4">
        <v>1698</v>
      </c>
      <c r="K74" s="4">
        <v>1649</v>
      </c>
      <c r="L74" s="4">
        <v>1629</v>
      </c>
      <c r="M74" s="4">
        <v>1635</v>
      </c>
      <c r="N74" s="4">
        <v>1686</v>
      </c>
      <c r="O74" s="4">
        <v>1671</v>
      </c>
      <c r="P74" s="4">
        <v>1586</v>
      </c>
      <c r="Q74" s="4">
        <v>1581</v>
      </c>
      <c r="R74" s="4">
        <v>1150</v>
      </c>
      <c r="S74" s="4">
        <v>1147</v>
      </c>
      <c r="T74" s="4">
        <v>1132</v>
      </c>
      <c r="U74" s="4">
        <v>1103</v>
      </c>
      <c r="V74" s="3" t="s">
        <v>65</v>
      </c>
    </row>
    <row r="75" spans="1:22" x14ac:dyDescent="0.2">
      <c r="A75" s="3" t="s">
        <v>130</v>
      </c>
      <c r="B75" s="3">
        <v>93.27</v>
      </c>
      <c r="C75" s="3">
        <v>73.02</v>
      </c>
      <c r="D75" s="3">
        <v>72.11</v>
      </c>
      <c r="E75" s="3">
        <v>73.22</v>
      </c>
      <c r="F75" s="3">
        <v>83.12</v>
      </c>
      <c r="G75" s="3">
        <v>76.150000000000006</v>
      </c>
      <c r="H75" s="3">
        <v>71.45</v>
      </c>
      <c r="I75" s="3">
        <v>77.38</v>
      </c>
      <c r="J75" s="3">
        <v>76.739999999999995</v>
      </c>
      <c r="K75" s="3">
        <v>70.599999999999994</v>
      </c>
      <c r="L75" s="3">
        <v>76.58</v>
      </c>
      <c r="M75" s="3">
        <v>73.87</v>
      </c>
      <c r="N75" s="3">
        <v>90.88</v>
      </c>
      <c r="O75" s="3">
        <v>74.06</v>
      </c>
      <c r="P75" s="3">
        <v>71.459999999999994</v>
      </c>
      <c r="Q75" s="3">
        <v>71.569999999999993</v>
      </c>
      <c r="R75" s="3">
        <v>68.59</v>
      </c>
      <c r="S75" s="3">
        <v>49.58</v>
      </c>
      <c r="T75" s="3">
        <v>37.72</v>
      </c>
      <c r="U75" s="3">
        <v>38.94</v>
      </c>
      <c r="V75" s="3" t="s">
        <v>65</v>
      </c>
    </row>
    <row r="76" spans="1:22" x14ac:dyDescent="0.2">
      <c r="A76" s="3" t="s">
        <v>131</v>
      </c>
      <c r="B76" s="3">
        <v>113.91</v>
      </c>
      <c r="C76" s="3">
        <v>64.09</v>
      </c>
      <c r="D76" s="3">
        <v>75.59</v>
      </c>
      <c r="E76" s="3">
        <v>77.290000000000006</v>
      </c>
      <c r="F76" s="3">
        <v>81.59</v>
      </c>
      <c r="G76" s="3">
        <v>101.72</v>
      </c>
      <c r="H76" s="3">
        <v>99.8</v>
      </c>
      <c r="I76" s="3">
        <v>98.9</v>
      </c>
      <c r="J76" s="3">
        <v>74.47</v>
      </c>
      <c r="K76" s="3">
        <v>69.5</v>
      </c>
      <c r="L76" s="3">
        <v>74.930000000000007</v>
      </c>
      <c r="M76" s="3">
        <v>68.64</v>
      </c>
      <c r="N76" s="3">
        <v>69.86</v>
      </c>
      <c r="O76" s="3">
        <v>102.56</v>
      </c>
      <c r="P76" s="3">
        <v>74.55</v>
      </c>
      <c r="Q76" s="3">
        <v>70.290000000000006</v>
      </c>
      <c r="R76" s="3">
        <v>58.9</v>
      </c>
      <c r="S76" s="3">
        <v>60.8</v>
      </c>
      <c r="T76" s="3">
        <v>62.15</v>
      </c>
      <c r="U76" s="3">
        <v>66.58</v>
      </c>
      <c r="V76" s="3" t="s">
        <v>65</v>
      </c>
    </row>
    <row r="77" spans="1:22" x14ac:dyDescent="0.2">
      <c r="A77" s="3" t="s">
        <v>393</v>
      </c>
      <c r="B77" s="3">
        <v>50.74</v>
      </c>
      <c r="C77" s="3">
        <v>50</v>
      </c>
      <c r="D77" s="3">
        <v>50</v>
      </c>
      <c r="E77" s="3">
        <v>50</v>
      </c>
      <c r="F77" s="3">
        <v>50</v>
      </c>
      <c r="G77" s="3">
        <v>50</v>
      </c>
      <c r="H77" s="3">
        <v>50.1</v>
      </c>
      <c r="I77" s="3">
        <v>40</v>
      </c>
      <c r="J77" s="3">
        <v>40</v>
      </c>
      <c r="K77" s="3">
        <v>40.61</v>
      </c>
      <c r="L77" s="3">
        <v>40.74</v>
      </c>
      <c r="M77" s="3">
        <v>40.880000000000003</v>
      </c>
      <c r="N77" s="3">
        <v>41.55</v>
      </c>
      <c r="O77" s="3">
        <v>41.82</v>
      </c>
      <c r="P77" s="3">
        <v>62.45</v>
      </c>
      <c r="Q77" s="3">
        <v>76.42</v>
      </c>
      <c r="R77" s="3">
        <v>19.53</v>
      </c>
      <c r="S77" s="3">
        <v>6.66</v>
      </c>
      <c r="T77" s="3">
        <v>30.85</v>
      </c>
      <c r="U77" s="3">
        <v>30.93</v>
      </c>
      <c r="V77" s="3" t="s">
        <v>65</v>
      </c>
    </row>
    <row r="78" spans="1:22" x14ac:dyDescent="0.2">
      <c r="A78" s="3" t="s">
        <v>132</v>
      </c>
      <c r="B78" s="3" t="s">
        <v>12</v>
      </c>
      <c r="C78" s="3">
        <v>10.01</v>
      </c>
      <c r="D78" s="3">
        <v>10.25</v>
      </c>
      <c r="E78" s="3">
        <v>9.36</v>
      </c>
      <c r="F78" s="3">
        <v>9.39</v>
      </c>
      <c r="G78" s="3">
        <v>10.16</v>
      </c>
      <c r="H78" s="3">
        <v>8.76</v>
      </c>
      <c r="I78" s="3">
        <v>9.27</v>
      </c>
      <c r="J78" s="3">
        <v>8.57</v>
      </c>
      <c r="K78" s="3">
        <v>7.55</v>
      </c>
      <c r="L78" s="3">
        <v>7.13</v>
      </c>
      <c r="M78" s="3">
        <v>7.61</v>
      </c>
      <c r="N78" s="3">
        <v>8.51</v>
      </c>
      <c r="O78" s="3">
        <v>8.56</v>
      </c>
      <c r="P78" s="3">
        <v>8.31</v>
      </c>
      <c r="Q78" s="3">
        <v>8.4600000000000009</v>
      </c>
      <c r="R78" s="3">
        <v>7.67</v>
      </c>
      <c r="S78" s="3">
        <v>7.83</v>
      </c>
      <c r="T78" s="3">
        <v>7.34</v>
      </c>
      <c r="U78" s="3">
        <v>7.09</v>
      </c>
      <c r="V78" s="3" t="s">
        <v>65</v>
      </c>
    </row>
    <row r="79" spans="1:22" x14ac:dyDescent="0.2">
      <c r="A79" s="3" t="s">
        <v>196</v>
      </c>
      <c r="B79" s="3" t="s">
        <v>12</v>
      </c>
      <c r="C79" s="3" t="s">
        <v>12</v>
      </c>
      <c r="D79" s="3" t="s">
        <v>12</v>
      </c>
      <c r="E79" s="3" t="s">
        <v>12</v>
      </c>
      <c r="F79" s="3">
        <v>15.53</v>
      </c>
      <c r="G79" s="3" t="s">
        <v>12</v>
      </c>
      <c r="H79" s="3" t="s">
        <v>12</v>
      </c>
      <c r="I79" s="3" t="s">
        <v>12</v>
      </c>
      <c r="J79" s="3">
        <v>9.15</v>
      </c>
      <c r="K79" s="3" t="s">
        <v>12</v>
      </c>
      <c r="L79" s="3" t="s">
        <v>12</v>
      </c>
      <c r="M79" s="3" t="s">
        <v>12</v>
      </c>
      <c r="N79" s="3">
        <v>11.8</v>
      </c>
      <c r="O79" s="3" t="s">
        <v>12</v>
      </c>
      <c r="P79" s="3" t="s">
        <v>12</v>
      </c>
      <c r="Q79" s="3" t="s">
        <v>12</v>
      </c>
      <c r="R79" s="3">
        <v>9.94</v>
      </c>
      <c r="S79" s="3" t="s">
        <v>12</v>
      </c>
      <c r="T79" s="3" t="s">
        <v>12</v>
      </c>
      <c r="U79" s="3" t="s">
        <v>12</v>
      </c>
      <c r="V79" s="3" t="s">
        <v>65</v>
      </c>
    </row>
    <row r="80" spans="1:22" x14ac:dyDescent="0.2">
      <c r="A80" s="3" t="s">
        <v>431</v>
      </c>
      <c r="B80" s="3" t="s">
        <v>12</v>
      </c>
      <c r="C80" s="3">
        <v>15.51</v>
      </c>
      <c r="D80" s="3">
        <v>16.55</v>
      </c>
      <c r="E80" s="3">
        <v>16.84</v>
      </c>
      <c r="F80" s="3">
        <v>16.59</v>
      </c>
      <c r="G80" s="3">
        <v>26.28</v>
      </c>
      <c r="H80" s="3">
        <v>28.44</v>
      </c>
      <c r="I80" s="3">
        <v>33.31</v>
      </c>
      <c r="J80" s="3">
        <v>27</v>
      </c>
      <c r="K80" s="3">
        <v>22.18</v>
      </c>
      <c r="L80" s="3">
        <v>22.25</v>
      </c>
      <c r="M80" s="3">
        <v>24.02</v>
      </c>
      <c r="N80" s="3" t="s">
        <v>12</v>
      </c>
      <c r="O80" s="3" t="s">
        <v>12</v>
      </c>
      <c r="P80" s="3">
        <v>16.579999999999998</v>
      </c>
      <c r="Q80" s="3">
        <v>14.89</v>
      </c>
      <c r="R80" s="3" t="s">
        <v>12</v>
      </c>
      <c r="S80" s="3">
        <v>15.76</v>
      </c>
      <c r="T80" s="3">
        <v>14.28</v>
      </c>
      <c r="U80" s="3">
        <v>13.22</v>
      </c>
      <c r="V80" s="3" t="s">
        <v>65</v>
      </c>
    </row>
    <row r="81" spans="1:22" x14ac:dyDescent="0.2">
      <c r="A81" s="3" t="s">
        <v>133</v>
      </c>
      <c r="B81" s="3" t="s">
        <v>12</v>
      </c>
      <c r="C81" s="3">
        <v>4.72</v>
      </c>
      <c r="D81" s="3">
        <v>5.17</v>
      </c>
      <c r="E81" s="3">
        <v>4.79</v>
      </c>
      <c r="F81" s="3">
        <v>5.54</v>
      </c>
      <c r="G81" s="3">
        <v>5.01</v>
      </c>
      <c r="H81" s="3">
        <v>5.07</v>
      </c>
      <c r="I81" s="3">
        <v>5.07</v>
      </c>
      <c r="J81" s="3">
        <v>5.72</v>
      </c>
      <c r="K81" s="3">
        <v>4.99</v>
      </c>
      <c r="L81" s="3">
        <v>0.36</v>
      </c>
      <c r="M81" s="3">
        <v>4.2300000000000004</v>
      </c>
      <c r="N81" s="3">
        <v>27.03</v>
      </c>
      <c r="O81" s="3">
        <v>3.99</v>
      </c>
      <c r="P81" s="3">
        <v>3.55</v>
      </c>
      <c r="Q81" s="3">
        <v>3.59</v>
      </c>
      <c r="R81" s="3">
        <v>19.23</v>
      </c>
      <c r="S81" s="3">
        <v>3.5</v>
      </c>
      <c r="T81" s="3">
        <v>3.5</v>
      </c>
      <c r="U81" s="3">
        <v>3.52</v>
      </c>
      <c r="V81" s="3" t="s">
        <v>65</v>
      </c>
    </row>
    <row r="82" spans="1:22" x14ac:dyDescent="0.2">
      <c r="A82" s="3" t="s">
        <v>134</v>
      </c>
      <c r="B82" s="3">
        <v>257.92</v>
      </c>
      <c r="C82" s="3">
        <v>217.34</v>
      </c>
      <c r="D82" s="3">
        <v>229.66</v>
      </c>
      <c r="E82" s="3">
        <v>231.51</v>
      </c>
      <c r="F82" s="3">
        <v>261.76</v>
      </c>
      <c r="G82" s="3">
        <v>269.32</v>
      </c>
      <c r="H82" s="3">
        <v>263.61</v>
      </c>
      <c r="I82" s="3">
        <v>263.92</v>
      </c>
      <c r="J82" s="3">
        <v>241.66</v>
      </c>
      <c r="K82" s="3">
        <v>215.43</v>
      </c>
      <c r="L82" s="3">
        <v>222</v>
      </c>
      <c r="M82" s="3">
        <v>219.25</v>
      </c>
      <c r="N82" s="3">
        <v>249.62</v>
      </c>
      <c r="O82" s="3">
        <v>231</v>
      </c>
      <c r="P82" s="3">
        <v>236.9</v>
      </c>
      <c r="Q82" s="3">
        <v>245.21</v>
      </c>
      <c r="R82" s="3">
        <v>183.86</v>
      </c>
      <c r="S82" s="3">
        <v>144.11000000000001</v>
      </c>
      <c r="T82" s="3">
        <v>155.85</v>
      </c>
      <c r="U82" s="3">
        <v>160.29</v>
      </c>
      <c r="V82" s="3" t="s">
        <v>65</v>
      </c>
    </row>
    <row r="83" spans="1:22" x14ac:dyDescent="0.2">
      <c r="A83" s="3" t="s">
        <v>135</v>
      </c>
      <c r="B83" s="3">
        <v>420.24</v>
      </c>
      <c r="C83" s="3">
        <v>423.6</v>
      </c>
      <c r="D83" s="3">
        <v>443.76</v>
      </c>
      <c r="E83" s="3">
        <v>449.5</v>
      </c>
      <c r="F83" s="3">
        <v>469.84</v>
      </c>
      <c r="G83" s="3">
        <v>492.91</v>
      </c>
      <c r="H83" s="3">
        <v>502.83</v>
      </c>
      <c r="I83" s="3">
        <v>530.77</v>
      </c>
      <c r="J83" s="3">
        <v>420.32</v>
      </c>
      <c r="K83" s="3">
        <v>429.62</v>
      </c>
      <c r="L83" s="3">
        <v>437.7</v>
      </c>
      <c r="M83" s="3">
        <v>449.6</v>
      </c>
      <c r="N83" s="3">
        <v>466.07</v>
      </c>
      <c r="O83" s="3">
        <v>477.39</v>
      </c>
      <c r="P83" s="3">
        <v>393.07</v>
      </c>
      <c r="Q83" s="3">
        <v>385.51</v>
      </c>
      <c r="R83" s="3">
        <v>245.38</v>
      </c>
      <c r="S83" s="3">
        <v>266.8</v>
      </c>
      <c r="T83" s="3">
        <v>261.45</v>
      </c>
      <c r="U83" s="3">
        <v>255.78</v>
      </c>
      <c r="V83" s="3" t="s">
        <v>65</v>
      </c>
    </row>
    <row r="84" spans="1:22" x14ac:dyDescent="0.2">
      <c r="A84" s="3" t="s">
        <v>136</v>
      </c>
      <c r="B84" s="3" t="s">
        <v>12</v>
      </c>
      <c r="C84" s="3">
        <v>73.52</v>
      </c>
      <c r="D84" s="3">
        <v>75.36</v>
      </c>
      <c r="E84" s="3">
        <v>76.69</v>
      </c>
      <c r="F84" s="3">
        <v>72.930000000000007</v>
      </c>
      <c r="G84" s="3">
        <v>71.2</v>
      </c>
      <c r="H84" s="3">
        <v>59.14</v>
      </c>
      <c r="I84" s="3">
        <v>62.23</v>
      </c>
      <c r="J84" s="3">
        <v>59.46</v>
      </c>
      <c r="K84" s="3">
        <v>39.67</v>
      </c>
      <c r="L84" s="3">
        <v>35.92</v>
      </c>
      <c r="M84" s="3">
        <v>35.4</v>
      </c>
      <c r="N84" s="3">
        <v>37.25</v>
      </c>
      <c r="O84" s="3">
        <v>38.75</v>
      </c>
      <c r="P84" s="3">
        <v>38.33</v>
      </c>
      <c r="Q84" s="3">
        <v>40.65</v>
      </c>
      <c r="R84" s="3">
        <v>27.32</v>
      </c>
      <c r="S84" s="3">
        <v>29.25</v>
      </c>
      <c r="T84" s="3">
        <v>30.5</v>
      </c>
      <c r="U84" s="3">
        <v>30.55</v>
      </c>
      <c r="V84" s="3" t="s">
        <v>65</v>
      </c>
    </row>
    <row r="85" spans="1:22" x14ac:dyDescent="0.2">
      <c r="A85" s="3" t="s">
        <v>394</v>
      </c>
      <c r="B85" s="3" t="s">
        <v>12</v>
      </c>
      <c r="C85" s="3" t="s">
        <v>12</v>
      </c>
      <c r="D85" s="3" t="s">
        <v>12</v>
      </c>
      <c r="E85" s="3" t="s">
        <v>12</v>
      </c>
      <c r="F85" s="3">
        <v>40.450000000000003</v>
      </c>
      <c r="G85" s="3" t="s">
        <v>12</v>
      </c>
      <c r="H85" s="3" t="s">
        <v>12</v>
      </c>
      <c r="I85" s="3" t="s">
        <v>12</v>
      </c>
      <c r="J85" s="3">
        <v>46</v>
      </c>
      <c r="K85" s="3" t="s">
        <v>12</v>
      </c>
      <c r="L85" s="3" t="s">
        <v>12</v>
      </c>
      <c r="M85" s="3" t="s">
        <v>12</v>
      </c>
      <c r="N85" s="3">
        <v>41.65</v>
      </c>
      <c r="O85" s="3" t="s">
        <v>12</v>
      </c>
      <c r="P85" s="3" t="s">
        <v>12</v>
      </c>
      <c r="Q85" s="3" t="s">
        <v>12</v>
      </c>
      <c r="R85" s="3">
        <v>17.600000000000001</v>
      </c>
      <c r="S85" s="3" t="s">
        <v>12</v>
      </c>
      <c r="T85" s="3" t="s">
        <v>12</v>
      </c>
      <c r="U85" s="3" t="s">
        <v>12</v>
      </c>
      <c r="V85" s="3" t="s">
        <v>65</v>
      </c>
    </row>
    <row r="86" spans="1:22" x14ac:dyDescent="0.2">
      <c r="A86" s="3" t="s">
        <v>137</v>
      </c>
      <c r="B86" s="3">
        <v>178.54</v>
      </c>
      <c r="C86" s="3">
        <v>124.87</v>
      </c>
      <c r="D86" s="3">
        <v>131.97999999999999</v>
      </c>
      <c r="E86" s="3">
        <v>138.16</v>
      </c>
      <c r="F86" s="3">
        <v>27.65</v>
      </c>
      <c r="G86" s="3">
        <v>145.44</v>
      </c>
      <c r="H86" s="3">
        <v>147.82</v>
      </c>
      <c r="I86" s="3">
        <v>155.63</v>
      </c>
      <c r="J86" s="3">
        <v>25.73</v>
      </c>
      <c r="K86" s="3">
        <v>153.83000000000001</v>
      </c>
      <c r="L86" s="3">
        <v>149.29</v>
      </c>
      <c r="M86" s="3">
        <v>155.30000000000001</v>
      </c>
      <c r="N86" s="3">
        <v>30.64</v>
      </c>
      <c r="O86" s="3">
        <v>178.7</v>
      </c>
      <c r="P86" s="3">
        <v>182.52</v>
      </c>
      <c r="Q86" s="3">
        <v>184.81</v>
      </c>
      <c r="R86" s="3">
        <v>30.02</v>
      </c>
      <c r="S86" s="3">
        <v>209.9</v>
      </c>
      <c r="T86" s="3">
        <v>204.18</v>
      </c>
      <c r="U86" s="3">
        <v>189.37</v>
      </c>
      <c r="V86" s="3" t="s">
        <v>65</v>
      </c>
    </row>
    <row r="87" spans="1:22" x14ac:dyDescent="0.2">
      <c r="A87" s="3" t="s">
        <v>138</v>
      </c>
      <c r="B87" s="3">
        <v>856.69</v>
      </c>
      <c r="C87" s="3">
        <v>839.32</v>
      </c>
      <c r="D87" s="3">
        <v>880.75</v>
      </c>
      <c r="E87" s="3">
        <v>895.85</v>
      </c>
      <c r="F87" s="3">
        <v>943.88</v>
      </c>
      <c r="G87" s="3">
        <v>978.87</v>
      </c>
      <c r="H87" s="3">
        <v>973.4</v>
      </c>
      <c r="I87" s="4">
        <v>1013</v>
      </c>
      <c r="J87" s="3">
        <v>864.66</v>
      </c>
      <c r="K87" s="3">
        <v>838.55</v>
      </c>
      <c r="L87" s="3">
        <v>844.91</v>
      </c>
      <c r="M87" s="3">
        <v>859.55</v>
      </c>
      <c r="N87" s="3">
        <v>912.9</v>
      </c>
      <c r="O87" s="3">
        <v>925.84</v>
      </c>
      <c r="P87" s="3">
        <v>850.82</v>
      </c>
      <c r="Q87" s="3">
        <v>856.18</v>
      </c>
      <c r="R87" s="3">
        <v>620.28</v>
      </c>
      <c r="S87" s="3">
        <v>650.05999999999995</v>
      </c>
      <c r="T87" s="3">
        <v>651.98</v>
      </c>
      <c r="U87" s="3">
        <v>635.99</v>
      </c>
      <c r="V87" s="3" t="s">
        <v>65</v>
      </c>
    </row>
    <row r="88" spans="1:22" x14ac:dyDescent="0.2">
      <c r="A88" s="3" t="s">
        <v>139</v>
      </c>
      <c r="B88" s="3">
        <v>0.28999999999999998</v>
      </c>
      <c r="C88" s="3">
        <v>0.28999999999999998</v>
      </c>
      <c r="D88" s="3">
        <v>0.28999999999999998</v>
      </c>
      <c r="E88" s="3">
        <v>0.28999999999999998</v>
      </c>
      <c r="F88" s="3">
        <v>0.28999999999999998</v>
      </c>
      <c r="G88" s="3">
        <v>0.28999999999999998</v>
      </c>
      <c r="H88" s="3">
        <v>0.28999999999999998</v>
      </c>
      <c r="I88" s="3">
        <v>0.28999999999999998</v>
      </c>
      <c r="J88" s="3">
        <v>0.28999999999999998</v>
      </c>
      <c r="K88" s="3">
        <v>0.28999999999999998</v>
      </c>
      <c r="L88" s="3">
        <v>0.28999999999999998</v>
      </c>
      <c r="M88" s="3">
        <v>0.28999999999999998</v>
      </c>
      <c r="N88" s="3">
        <v>0.28999999999999998</v>
      </c>
      <c r="O88" s="3">
        <v>0.28999999999999998</v>
      </c>
      <c r="P88" s="3">
        <v>0.28000000000000003</v>
      </c>
      <c r="Q88" s="3">
        <v>0.28000000000000003</v>
      </c>
      <c r="R88" s="3">
        <v>0.24</v>
      </c>
      <c r="S88" s="3">
        <v>0.24</v>
      </c>
      <c r="T88" s="3">
        <v>0.24</v>
      </c>
      <c r="U88" s="3">
        <v>0.24</v>
      </c>
      <c r="V88" s="3" t="s">
        <v>65</v>
      </c>
    </row>
    <row r="89" spans="1:22" x14ac:dyDescent="0.2">
      <c r="A89" s="3" t="s">
        <v>140</v>
      </c>
      <c r="B89" s="3">
        <v>531.75</v>
      </c>
      <c r="C89" s="3">
        <v>532.27</v>
      </c>
      <c r="D89" s="3">
        <v>529.6</v>
      </c>
      <c r="E89" s="3">
        <v>526.57000000000005</v>
      </c>
      <c r="F89" s="3">
        <v>527.13</v>
      </c>
      <c r="G89" s="3">
        <v>522.59</v>
      </c>
      <c r="H89" s="3">
        <v>519.59</v>
      </c>
      <c r="I89" s="3">
        <v>516.20000000000005</v>
      </c>
      <c r="J89" s="3">
        <v>515.79999999999995</v>
      </c>
      <c r="K89" s="3">
        <v>512.41999999999996</v>
      </c>
      <c r="L89" s="3">
        <v>508.95</v>
      </c>
      <c r="M89" s="3">
        <v>505.93</v>
      </c>
      <c r="N89" s="3">
        <v>506.07</v>
      </c>
      <c r="O89" s="3">
        <v>503.7</v>
      </c>
      <c r="P89" s="3">
        <v>499.76</v>
      </c>
      <c r="Q89" s="3">
        <v>495.54</v>
      </c>
      <c r="R89" s="3">
        <v>296.08999999999997</v>
      </c>
      <c r="S89" s="3">
        <v>293.87</v>
      </c>
      <c r="T89" s="3">
        <v>290.69</v>
      </c>
      <c r="U89" s="3">
        <v>288.58</v>
      </c>
      <c r="V89" s="3" t="s">
        <v>65</v>
      </c>
    </row>
    <row r="90" spans="1:22" x14ac:dyDescent="0.2">
      <c r="A90" s="3" t="s">
        <v>13</v>
      </c>
      <c r="B90" s="3">
        <v>382.16</v>
      </c>
      <c r="C90" s="3">
        <v>388.85</v>
      </c>
      <c r="D90" s="3">
        <v>386.89</v>
      </c>
      <c r="E90" s="3">
        <v>403.96</v>
      </c>
      <c r="F90" s="3">
        <v>395.33</v>
      </c>
      <c r="G90" s="3">
        <v>387.55</v>
      </c>
      <c r="H90" s="3">
        <v>379.83</v>
      </c>
      <c r="I90" s="3">
        <v>366.03</v>
      </c>
      <c r="J90" s="3">
        <v>356.76</v>
      </c>
      <c r="K90" s="3">
        <v>346.87</v>
      </c>
      <c r="L90" s="3">
        <v>336.84</v>
      </c>
      <c r="M90" s="3">
        <v>324.73</v>
      </c>
      <c r="N90" s="3">
        <v>316.33999999999997</v>
      </c>
      <c r="O90" s="3">
        <v>308.22000000000003</v>
      </c>
      <c r="P90" s="3">
        <v>300.04000000000002</v>
      </c>
      <c r="Q90" s="3">
        <v>286.54000000000002</v>
      </c>
      <c r="R90" s="3">
        <v>293.8</v>
      </c>
      <c r="S90" s="3">
        <v>287.10000000000002</v>
      </c>
      <c r="T90" s="3">
        <v>281.94</v>
      </c>
      <c r="U90" s="3">
        <v>287.47000000000003</v>
      </c>
      <c r="V90" s="3" t="s">
        <v>65</v>
      </c>
    </row>
    <row r="91" spans="1:22" x14ac:dyDescent="0.2">
      <c r="A91" s="3" t="s">
        <v>426</v>
      </c>
      <c r="B91" s="3">
        <v>-11</v>
      </c>
      <c r="C91" s="3">
        <v>-10.95</v>
      </c>
      <c r="D91" s="3">
        <v>-5.95</v>
      </c>
      <c r="E91" s="3">
        <v>-1</v>
      </c>
      <c r="F91" s="3">
        <v>-1</v>
      </c>
      <c r="G91" s="3">
        <v>-1</v>
      </c>
      <c r="H91" s="3">
        <v>-1</v>
      </c>
      <c r="I91" s="3">
        <v>-1</v>
      </c>
      <c r="J91" s="3">
        <v>-1</v>
      </c>
      <c r="K91" s="3">
        <v>-1</v>
      </c>
      <c r="L91" s="3" t="s">
        <v>12</v>
      </c>
      <c r="M91" s="3" t="s">
        <v>12</v>
      </c>
      <c r="N91" s="3" t="s">
        <v>12</v>
      </c>
      <c r="O91" s="3" t="s">
        <v>12</v>
      </c>
      <c r="P91" s="3" t="s">
        <v>12</v>
      </c>
      <c r="Q91" s="3" t="s">
        <v>12</v>
      </c>
      <c r="R91" s="3" t="s">
        <v>12</v>
      </c>
      <c r="S91" s="3" t="s">
        <v>12</v>
      </c>
      <c r="T91" s="3" t="s">
        <v>12</v>
      </c>
      <c r="U91" s="3" t="s">
        <v>12</v>
      </c>
      <c r="V91" s="3" t="s">
        <v>65</v>
      </c>
    </row>
    <row r="92" spans="1:22" x14ac:dyDescent="0.2">
      <c r="A92" s="3" t="s">
        <v>141</v>
      </c>
      <c r="B92" s="3">
        <v>-21.1</v>
      </c>
      <c r="C92" s="3">
        <v>-38.880000000000003</v>
      </c>
      <c r="D92" s="3">
        <v>-14.7</v>
      </c>
      <c r="E92" s="3">
        <v>-44.01</v>
      </c>
      <c r="F92" s="3">
        <v>-39.68</v>
      </c>
      <c r="G92" s="3">
        <v>-30.99</v>
      </c>
      <c r="H92" s="3">
        <v>-44.72</v>
      </c>
      <c r="I92" s="3">
        <v>-34.56</v>
      </c>
      <c r="J92" s="3">
        <v>-38.04</v>
      </c>
      <c r="K92" s="3">
        <v>-47.69</v>
      </c>
      <c r="L92" s="3">
        <v>-61.69</v>
      </c>
      <c r="M92" s="3">
        <v>-55.77</v>
      </c>
      <c r="N92" s="3">
        <v>-49.9</v>
      </c>
      <c r="O92" s="3">
        <v>-66.569999999999993</v>
      </c>
      <c r="P92" s="3">
        <v>-64.92</v>
      </c>
      <c r="Q92" s="3">
        <v>-57.91</v>
      </c>
      <c r="R92" s="3">
        <v>-59.99</v>
      </c>
      <c r="S92" s="3">
        <v>-83.88</v>
      </c>
      <c r="T92" s="3">
        <v>-92.91</v>
      </c>
      <c r="U92" s="3">
        <v>-109.69</v>
      </c>
      <c r="V92" s="3" t="s">
        <v>65</v>
      </c>
    </row>
    <row r="93" spans="1:22" x14ac:dyDescent="0.2">
      <c r="A93" s="3" t="s">
        <v>14</v>
      </c>
      <c r="B93" s="3">
        <v>882.1</v>
      </c>
      <c r="C93" s="3">
        <v>871.58</v>
      </c>
      <c r="D93" s="3">
        <v>896.13</v>
      </c>
      <c r="E93" s="3">
        <v>885.81</v>
      </c>
      <c r="F93" s="3">
        <v>882.06</v>
      </c>
      <c r="G93" s="3">
        <v>878.44</v>
      </c>
      <c r="H93" s="3">
        <v>854</v>
      </c>
      <c r="I93" s="3">
        <v>846.96</v>
      </c>
      <c r="J93" s="3">
        <v>833.8</v>
      </c>
      <c r="K93" s="3">
        <v>810.88</v>
      </c>
      <c r="L93" s="3">
        <v>784.38</v>
      </c>
      <c r="M93" s="3">
        <v>775.18</v>
      </c>
      <c r="N93" s="3">
        <v>772.8</v>
      </c>
      <c r="O93" s="3">
        <v>745.64</v>
      </c>
      <c r="P93" s="3">
        <v>735.16</v>
      </c>
      <c r="Q93" s="3">
        <v>724.45</v>
      </c>
      <c r="R93" s="3">
        <v>530.15</v>
      </c>
      <c r="S93" s="3">
        <v>497.32</v>
      </c>
      <c r="T93" s="3">
        <v>479.96</v>
      </c>
      <c r="U93" s="3">
        <v>466.6</v>
      </c>
      <c r="V93" s="3" t="s">
        <v>65</v>
      </c>
    </row>
    <row r="94" spans="1:22" x14ac:dyDescent="0.2">
      <c r="A94" s="3" t="s">
        <v>142</v>
      </c>
      <c r="B94" s="4">
        <v>1739</v>
      </c>
      <c r="C94" s="4">
        <v>1711</v>
      </c>
      <c r="D94" s="4">
        <v>1777</v>
      </c>
      <c r="E94" s="4">
        <v>1782</v>
      </c>
      <c r="F94" s="4">
        <v>1826</v>
      </c>
      <c r="G94" s="4">
        <v>1857</v>
      </c>
      <c r="H94" s="4">
        <v>1827</v>
      </c>
      <c r="I94" s="4">
        <v>1860</v>
      </c>
      <c r="J94" s="4">
        <v>1698</v>
      </c>
      <c r="K94" s="4">
        <v>1649</v>
      </c>
      <c r="L94" s="4">
        <v>1629</v>
      </c>
      <c r="M94" s="4">
        <v>1635</v>
      </c>
      <c r="N94" s="4">
        <v>1686</v>
      </c>
      <c r="O94" s="4">
        <v>1671</v>
      </c>
      <c r="P94" s="4">
        <v>1586</v>
      </c>
      <c r="Q94" s="4">
        <v>1581</v>
      </c>
      <c r="R94" s="4">
        <v>1150</v>
      </c>
      <c r="S94" s="4">
        <v>1147</v>
      </c>
      <c r="T94" s="4">
        <v>1132</v>
      </c>
      <c r="U94" s="4">
        <v>1103</v>
      </c>
      <c r="V94" s="3" t="s">
        <v>65</v>
      </c>
    </row>
    <row r="95" spans="1:22" x14ac:dyDescent="0.2">
      <c r="A95" s="3" t="s">
        <v>7</v>
      </c>
      <c r="B95" s="3">
        <v>470.98</v>
      </c>
      <c r="C95" s="3">
        <v>557.13</v>
      </c>
      <c r="D95" s="3">
        <v>579.36</v>
      </c>
      <c r="E95" s="3">
        <v>585.54999999999995</v>
      </c>
      <c r="F95" s="3">
        <v>602.16999999999996</v>
      </c>
      <c r="G95" s="3">
        <v>624.27</v>
      </c>
      <c r="H95" s="3">
        <v>620.83000000000004</v>
      </c>
      <c r="I95" s="3">
        <v>642.27</v>
      </c>
      <c r="J95" s="3">
        <v>528.35</v>
      </c>
      <c r="K95" s="3">
        <v>517.45000000000005</v>
      </c>
      <c r="L95" s="3">
        <v>521.49</v>
      </c>
      <c r="M95" s="3">
        <v>533.49</v>
      </c>
      <c r="N95" s="3">
        <v>553.37</v>
      </c>
      <c r="O95" s="3">
        <v>566.52</v>
      </c>
      <c r="P95" s="3">
        <v>502.16</v>
      </c>
      <c r="Q95" s="3">
        <v>511.03</v>
      </c>
      <c r="R95" s="3">
        <v>299.89999999999998</v>
      </c>
      <c r="S95" s="3">
        <v>310.52999999999997</v>
      </c>
      <c r="T95" s="3">
        <v>330.14</v>
      </c>
      <c r="U95" s="3">
        <v>324.35000000000002</v>
      </c>
      <c r="V95" s="3" t="s">
        <v>65</v>
      </c>
    </row>
    <row r="96" spans="1:22" x14ac:dyDescent="0.2">
      <c r="A96" s="3" t="s">
        <v>15</v>
      </c>
      <c r="B96" s="3">
        <v>-407.18</v>
      </c>
      <c r="C96" s="3">
        <v>-503.95</v>
      </c>
      <c r="D96" s="3">
        <v>-510.61</v>
      </c>
      <c r="E96" s="3">
        <v>-500.52</v>
      </c>
      <c r="F96" s="3">
        <v>-469.09</v>
      </c>
      <c r="G96" s="3">
        <v>-501.44</v>
      </c>
      <c r="H96" s="3">
        <v>-501.51</v>
      </c>
      <c r="I96" s="3">
        <v>-515.39</v>
      </c>
      <c r="J96" s="3">
        <v>-377.16</v>
      </c>
      <c r="K96" s="3">
        <v>-417.45</v>
      </c>
      <c r="L96" s="3">
        <v>-415.46</v>
      </c>
      <c r="M96" s="3">
        <v>-433.58</v>
      </c>
      <c r="N96" s="3">
        <v>-426.83</v>
      </c>
      <c r="O96" s="3">
        <v>-448.67</v>
      </c>
      <c r="P96" s="3">
        <v>-386.78</v>
      </c>
      <c r="Q96" s="3">
        <v>-412.31</v>
      </c>
      <c r="R96" s="3">
        <v>-89.81</v>
      </c>
      <c r="S96" s="3">
        <v>-114.98</v>
      </c>
      <c r="T96" s="3">
        <v>-135.05000000000001</v>
      </c>
      <c r="U96" s="3">
        <v>-164.6</v>
      </c>
      <c r="V96" s="3" t="s">
        <v>65</v>
      </c>
    </row>
    <row r="97" spans="1:22" x14ac:dyDescent="0.2">
      <c r="A97" s="3" t="s">
        <v>143</v>
      </c>
      <c r="B97" s="3">
        <v>-14.23</v>
      </c>
      <c r="C97" s="3">
        <v>-17.440000000000001</v>
      </c>
      <c r="D97" s="3">
        <v>-17.690000000000001</v>
      </c>
      <c r="E97" s="3">
        <v>-17.18</v>
      </c>
      <c r="F97" s="3">
        <v>-16.100000000000001</v>
      </c>
      <c r="G97" s="3">
        <v>-17.3</v>
      </c>
      <c r="H97" s="3">
        <v>-17.29</v>
      </c>
      <c r="I97" s="3">
        <v>-17.829999999999998</v>
      </c>
      <c r="J97" s="3">
        <v>-13.06</v>
      </c>
      <c r="K97" s="3">
        <v>-14.51</v>
      </c>
      <c r="L97" s="3">
        <v>-14.45</v>
      </c>
      <c r="M97" s="3">
        <v>-15.11</v>
      </c>
      <c r="N97" s="3">
        <v>-14.8</v>
      </c>
      <c r="O97" s="3">
        <v>-15.56</v>
      </c>
      <c r="P97" s="3">
        <v>-13.45</v>
      </c>
      <c r="Q97" s="3">
        <v>-15.41</v>
      </c>
      <c r="R97" s="3">
        <v>-3.68</v>
      </c>
      <c r="S97" s="3">
        <v>-4.75</v>
      </c>
      <c r="T97" s="3">
        <v>-5.65</v>
      </c>
      <c r="U97" s="3">
        <v>-6.92</v>
      </c>
      <c r="V97" s="3" t="s">
        <v>65</v>
      </c>
    </row>
    <row r="98" spans="1:22" x14ac:dyDescent="0.2">
      <c r="A98" s="3" t="s">
        <v>144</v>
      </c>
      <c r="B98" s="3">
        <v>28.62</v>
      </c>
      <c r="C98" s="3">
        <v>28.61</v>
      </c>
      <c r="D98" s="3">
        <v>28.69</v>
      </c>
      <c r="E98" s="3">
        <v>28.85</v>
      </c>
      <c r="F98" s="3">
        <v>28.83</v>
      </c>
      <c r="G98" s="3">
        <v>28.72</v>
      </c>
      <c r="H98" s="3">
        <v>28.71</v>
      </c>
      <c r="I98" s="3">
        <v>28.69</v>
      </c>
      <c r="J98" s="3">
        <v>28.66</v>
      </c>
      <c r="K98" s="3">
        <v>28.58</v>
      </c>
      <c r="L98" s="3">
        <v>28.63</v>
      </c>
      <c r="M98" s="3">
        <v>28.62</v>
      </c>
      <c r="N98" s="3">
        <v>28.55</v>
      </c>
      <c r="O98" s="3">
        <v>28.51</v>
      </c>
      <c r="P98" s="3">
        <v>28.44</v>
      </c>
      <c r="Q98" s="3">
        <v>28.4</v>
      </c>
      <c r="R98" s="3">
        <v>28.34</v>
      </c>
      <c r="S98" s="3">
        <v>23.97</v>
      </c>
      <c r="T98" s="3">
        <v>23.9</v>
      </c>
      <c r="U98" s="3">
        <v>23.88</v>
      </c>
      <c r="V98" s="3" t="s">
        <v>65</v>
      </c>
    </row>
    <row r="99" spans="1:22" x14ac:dyDescent="0.2">
      <c r="A99" s="3" t="s">
        <v>145</v>
      </c>
      <c r="B99" s="3">
        <v>28.62</v>
      </c>
      <c r="C99" s="3">
        <v>28.29</v>
      </c>
      <c r="D99" s="3">
        <v>28.57</v>
      </c>
      <c r="E99" s="3">
        <v>28.84</v>
      </c>
      <c r="F99" s="3">
        <v>28.77</v>
      </c>
      <c r="G99" s="3">
        <v>28.72</v>
      </c>
      <c r="H99" s="3">
        <v>28.71</v>
      </c>
      <c r="I99" s="3">
        <v>28.68</v>
      </c>
      <c r="J99" s="3">
        <v>28.58</v>
      </c>
      <c r="K99" s="3">
        <v>28.58</v>
      </c>
      <c r="L99" s="3">
        <v>28.63</v>
      </c>
      <c r="M99" s="3">
        <v>28.59</v>
      </c>
      <c r="N99" s="3">
        <v>28.52</v>
      </c>
      <c r="O99" s="3">
        <v>28.49</v>
      </c>
      <c r="P99" s="3">
        <v>28.44</v>
      </c>
      <c r="Q99" s="3">
        <v>28.37</v>
      </c>
      <c r="R99" s="3">
        <v>23.98</v>
      </c>
      <c r="S99" s="3">
        <v>23.97</v>
      </c>
      <c r="T99" s="3">
        <v>23.9</v>
      </c>
      <c r="U99" s="3">
        <v>23.85</v>
      </c>
      <c r="V99" s="3" t="s">
        <v>65</v>
      </c>
    </row>
    <row r="100" spans="1:22" x14ac:dyDescent="0.2">
      <c r="A100" s="3" t="s">
        <v>146</v>
      </c>
      <c r="B100" s="3">
        <v>207.85</v>
      </c>
      <c r="C100" s="3">
        <v>223.1</v>
      </c>
      <c r="D100" s="3">
        <v>238.09</v>
      </c>
      <c r="E100" s="3">
        <v>246.81</v>
      </c>
      <c r="F100" s="3">
        <v>252.39</v>
      </c>
      <c r="G100" s="3">
        <v>247.09</v>
      </c>
      <c r="H100" s="3">
        <v>247.58</v>
      </c>
      <c r="I100" s="3">
        <v>250.3</v>
      </c>
      <c r="J100" s="3">
        <v>254.58</v>
      </c>
      <c r="K100" s="3">
        <v>248.18</v>
      </c>
      <c r="L100" s="3">
        <v>237.49</v>
      </c>
      <c r="M100" s="3">
        <v>223.39</v>
      </c>
      <c r="N100" s="3">
        <v>216.97</v>
      </c>
      <c r="O100" s="3">
        <v>210.13</v>
      </c>
      <c r="P100" s="3">
        <v>170.72</v>
      </c>
      <c r="Q100" s="3">
        <v>136.96</v>
      </c>
      <c r="R100" s="3">
        <v>257.98</v>
      </c>
      <c r="S100" s="3">
        <v>269.99</v>
      </c>
      <c r="T100" s="3">
        <v>253.46</v>
      </c>
      <c r="U100" s="3">
        <v>232.65</v>
      </c>
      <c r="V100" s="3" t="s">
        <v>65</v>
      </c>
    </row>
    <row r="101" spans="1:22" x14ac:dyDescent="0.2">
      <c r="A101" s="3" t="s">
        <v>16</v>
      </c>
      <c r="B101" s="3">
        <v>30.83</v>
      </c>
      <c r="C101" s="3">
        <v>30.81</v>
      </c>
      <c r="D101" s="3">
        <v>31.36</v>
      </c>
      <c r="E101" s="3">
        <v>30.72</v>
      </c>
      <c r="F101" s="3">
        <v>30.66</v>
      </c>
      <c r="G101" s="3">
        <v>30.58</v>
      </c>
      <c r="H101" s="3">
        <v>29.75</v>
      </c>
      <c r="I101" s="3">
        <v>29.53</v>
      </c>
      <c r="J101" s="3">
        <v>29.17</v>
      </c>
      <c r="K101" s="3">
        <v>28.38</v>
      </c>
      <c r="L101" s="3">
        <v>27.4</v>
      </c>
      <c r="M101" s="3">
        <v>27.12</v>
      </c>
      <c r="N101" s="3">
        <v>27.1</v>
      </c>
      <c r="O101" s="3">
        <v>26.17</v>
      </c>
      <c r="P101" s="3">
        <v>25.85</v>
      </c>
      <c r="Q101" s="3">
        <v>25.54</v>
      </c>
      <c r="R101" s="3">
        <v>22.1</v>
      </c>
      <c r="S101" s="3">
        <v>20.75</v>
      </c>
      <c r="T101" s="3">
        <v>20.079999999999998</v>
      </c>
      <c r="U101" s="3">
        <v>19.559999999999999</v>
      </c>
      <c r="V101" s="3" t="s">
        <v>65</v>
      </c>
    </row>
    <row r="102" spans="1:22" x14ac:dyDescent="0.2">
      <c r="A102" s="3" t="s">
        <v>147</v>
      </c>
      <c r="B102" s="3">
        <v>-185.27</v>
      </c>
      <c r="C102" s="3">
        <v>-187.12</v>
      </c>
      <c r="D102" s="3">
        <v>-197.45</v>
      </c>
      <c r="E102" s="3">
        <v>-200.32</v>
      </c>
      <c r="F102" s="3">
        <v>-213.91</v>
      </c>
      <c r="G102" s="3">
        <v>-246.31</v>
      </c>
      <c r="H102" s="3">
        <v>-260.95999999999998</v>
      </c>
      <c r="I102" s="3">
        <v>-294.54000000000002</v>
      </c>
      <c r="J102" s="3">
        <v>-173.37</v>
      </c>
      <c r="K102" s="3">
        <v>-199.21</v>
      </c>
      <c r="L102" s="3">
        <v>-208.67</v>
      </c>
      <c r="M102" s="3">
        <v>-244.19</v>
      </c>
      <c r="N102" s="3">
        <v>-266.83</v>
      </c>
      <c r="O102" s="3">
        <v>-312.01</v>
      </c>
      <c r="P102" s="3">
        <v>-272.87</v>
      </c>
      <c r="Q102" s="3">
        <v>-299.35000000000002</v>
      </c>
      <c r="R102" s="3">
        <v>-14.39</v>
      </c>
      <c r="S102" s="3">
        <v>-63.41</v>
      </c>
      <c r="T102" s="3">
        <v>-70.34</v>
      </c>
      <c r="U102" s="3">
        <v>-73.42</v>
      </c>
      <c r="V102" s="3" t="s">
        <v>65</v>
      </c>
    </row>
    <row r="103" spans="1:22" x14ac:dyDescent="0.2">
      <c r="A103" s="3" t="s">
        <v>148</v>
      </c>
      <c r="B103" s="3">
        <v>-6.47</v>
      </c>
      <c r="C103" s="3">
        <v>-6.62</v>
      </c>
      <c r="D103" s="3">
        <v>-6.91</v>
      </c>
      <c r="E103" s="3">
        <v>-6.95</v>
      </c>
      <c r="F103" s="3">
        <v>-7.44</v>
      </c>
      <c r="G103" s="3">
        <v>-8.57</v>
      </c>
      <c r="H103" s="3">
        <v>-9.09</v>
      </c>
      <c r="I103" s="3">
        <v>-10.27</v>
      </c>
      <c r="J103" s="3">
        <v>-6.07</v>
      </c>
      <c r="K103" s="3">
        <v>-6.97</v>
      </c>
      <c r="L103" s="3">
        <v>-7.29</v>
      </c>
      <c r="M103" s="3">
        <v>-8.5399999999999991</v>
      </c>
      <c r="N103" s="3">
        <v>-9.36</v>
      </c>
      <c r="O103" s="3">
        <v>-10.95</v>
      </c>
      <c r="P103" s="3">
        <v>-9.59</v>
      </c>
      <c r="Q103" s="3">
        <v>-10.55</v>
      </c>
      <c r="R103" s="3">
        <v>-0.6</v>
      </c>
      <c r="S103" s="3">
        <v>-2.65</v>
      </c>
      <c r="T103" s="3">
        <v>-2.94</v>
      </c>
      <c r="U103" s="3">
        <v>-3.08</v>
      </c>
      <c r="V103" s="3" t="s">
        <v>65</v>
      </c>
    </row>
    <row r="104" spans="1:22" x14ac:dyDescent="0.2">
      <c r="A104" s="3" t="s">
        <v>480</v>
      </c>
      <c r="B104" s="3" t="s">
        <v>12</v>
      </c>
      <c r="C104" s="3" t="s">
        <v>12</v>
      </c>
      <c r="D104" s="3" t="s">
        <v>12</v>
      </c>
      <c r="E104" s="3" t="s">
        <v>12</v>
      </c>
      <c r="F104" s="3">
        <v>5.46</v>
      </c>
      <c r="G104" s="3" t="s">
        <v>12</v>
      </c>
      <c r="H104" s="3" t="s">
        <v>12</v>
      </c>
      <c r="I104" s="3" t="s">
        <v>12</v>
      </c>
      <c r="J104" s="3">
        <v>5.47</v>
      </c>
      <c r="K104" s="3" t="s">
        <v>12</v>
      </c>
      <c r="L104" s="3" t="s">
        <v>12</v>
      </c>
      <c r="M104" s="3" t="s">
        <v>12</v>
      </c>
      <c r="N104" s="3">
        <v>5.61</v>
      </c>
      <c r="O104" s="3" t="s">
        <v>12</v>
      </c>
      <c r="P104" s="3" t="s">
        <v>12</v>
      </c>
      <c r="Q104" s="3" t="s">
        <v>12</v>
      </c>
      <c r="R104" s="3">
        <v>4.79</v>
      </c>
      <c r="S104" s="3" t="s">
        <v>12</v>
      </c>
      <c r="T104" s="3" t="s">
        <v>12</v>
      </c>
      <c r="U104" s="3" t="s">
        <v>12</v>
      </c>
      <c r="V104" s="3" t="s">
        <v>65</v>
      </c>
    </row>
    <row r="105" spans="1:22" x14ac:dyDescent="0.2">
      <c r="A105" s="3" t="s">
        <v>487</v>
      </c>
      <c r="B105" s="3" t="s">
        <v>12</v>
      </c>
      <c r="C105" s="3" t="s">
        <v>12</v>
      </c>
      <c r="D105" s="3" t="s">
        <v>12</v>
      </c>
      <c r="E105" s="3" t="s">
        <v>12</v>
      </c>
      <c r="F105" s="3">
        <v>66.680000000000007</v>
      </c>
      <c r="G105" s="3" t="s">
        <v>12</v>
      </c>
      <c r="H105" s="3" t="s">
        <v>12</v>
      </c>
      <c r="I105" s="3" t="s">
        <v>12</v>
      </c>
      <c r="J105" s="3">
        <v>60.9</v>
      </c>
      <c r="K105" s="3" t="s">
        <v>12</v>
      </c>
      <c r="L105" s="3" t="s">
        <v>12</v>
      </c>
      <c r="M105" s="3" t="s">
        <v>12</v>
      </c>
      <c r="N105" s="3">
        <v>57.55</v>
      </c>
      <c r="O105" s="3" t="s">
        <v>12</v>
      </c>
      <c r="P105" s="3" t="s">
        <v>12</v>
      </c>
      <c r="Q105" s="3" t="s">
        <v>12</v>
      </c>
      <c r="R105" s="3">
        <v>39.94</v>
      </c>
      <c r="S105" s="3" t="s">
        <v>12</v>
      </c>
      <c r="T105" s="3" t="s">
        <v>12</v>
      </c>
      <c r="U105" s="3" t="s">
        <v>12</v>
      </c>
      <c r="V105" s="3" t="s">
        <v>65</v>
      </c>
    </row>
    <row r="106" spans="1:22" x14ac:dyDescent="0.2">
      <c r="A106" s="3" t="s">
        <v>149</v>
      </c>
      <c r="B106" s="3" t="s">
        <v>12</v>
      </c>
      <c r="C106" s="3" t="s">
        <v>12</v>
      </c>
      <c r="D106" s="3" t="s">
        <v>12</v>
      </c>
      <c r="E106" s="3" t="s">
        <v>12</v>
      </c>
      <c r="F106" s="3">
        <v>253.64</v>
      </c>
      <c r="G106" s="3" t="s">
        <v>12</v>
      </c>
      <c r="H106" s="3" t="s">
        <v>12</v>
      </c>
      <c r="I106" s="3" t="s">
        <v>12</v>
      </c>
      <c r="J106" s="3">
        <v>249.38</v>
      </c>
      <c r="K106" s="3" t="s">
        <v>12</v>
      </c>
      <c r="L106" s="3" t="s">
        <v>12</v>
      </c>
      <c r="M106" s="3" t="s">
        <v>12</v>
      </c>
      <c r="N106" s="3">
        <v>249.79</v>
      </c>
      <c r="O106" s="3" t="s">
        <v>12</v>
      </c>
      <c r="P106" s="3" t="s">
        <v>12</v>
      </c>
      <c r="Q106" s="3" t="s">
        <v>12</v>
      </c>
      <c r="R106" s="3">
        <v>229.16</v>
      </c>
      <c r="S106" s="3" t="s">
        <v>12</v>
      </c>
      <c r="T106" s="3" t="s">
        <v>12</v>
      </c>
      <c r="U106" s="3" t="s">
        <v>12</v>
      </c>
      <c r="V106" s="3" t="s">
        <v>65</v>
      </c>
    </row>
    <row r="107" spans="1:22" x14ac:dyDescent="0.2">
      <c r="A107" s="3" t="s">
        <v>481</v>
      </c>
      <c r="B107" s="3" t="s">
        <v>12</v>
      </c>
      <c r="C107" s="3" t="s">
        <v>12</v>
      </c>
      <c r="D107" s="3" t="s">
        <v>12</v>
      </c>
      <c r="E107" s="3" t="s">
        <v>12</v>
      </c>
      <c r="F107" s="3">
        <v>23.43</v>
      </c>
      <c r="G107" s="3" t="s">
        <v>12</v>
      </c>
      <c r="H107" s="3" t="s">
        <v>12</v>
      </c>
      <c r="I107" s="3" t="s">
        <v>12</v>
      </c>
      <c r="J107" s="3">
        <v>10.34</v>
      </c>
      <c r="K107" s="3" t="s">
        <v>12</v>
      </c>
      <c r="L107" s="3" t="s">
        <v>12</v>
      </c>
      <c r="M107" s="3" t="s">
        <v>12</v>
      </c>
      <c r="N107" s="3">
        <v>14.25</v>
      </c>
      <c r="O107" s="3" t="s">
        <v>12</v>
      </c>
      <c r="P107" s="3" t="s">
        <v>12</v>
      </c>
      <c r="Q107" s="3" t="s">
        <v>12</v>
      </c>
      <c r="R107" s="3">
        <v>14.19</v>
      </c>
      <c r="S107" s="3" t="s">
        <v>12</v>
      </c>
      <c r="T107" s="3" t="s">
        <v>12</v>
      </c>
      <c r="U107" s="3" t="s">
        <v>12</v>
      </c>
      <c r="V107" s="3" t="s">
        <v>65</v>
      </c>
    </row>
    <row r="108" spans="1:22" x14ac:dyDescent="0.2">
      <c r="A108" s="3" t="s">
        <v>495</v>
      </c>
      <c r="B108" s="3">
        <v>322.5</v>
      </c>
      <c r="C108" s="3" t="s">
        <v>12</v>
      </c>
      <c r="D108" s="3" t="s">
        <v>12</v>
      </c>
      <c r="E108" s="3" t="s">
        <v>12</v>
      </c>
      <c r="F108" s="3" t="s">
        <v>12</v>
      </c>
      <c r="G108" s="3" t="s">
        <v>12</v>
      </c>
      <c r="H108" s="3" t="s">
        <v>12</v>
      </c>
      <c r="I108" s="3" t="s">
        <v>12</v>
      </c>
      <c r="J108" s="3" t="s">
        <v>12</v>
      </c>
      <c r="K108" s="3" t="s">
        <v>12</v>
      </c>
      <c r="L108" s="3" t="s">
        <v>12</v>
      </c>
      <c r="M108" s="3" t="s">
        <v>12</v>
      </c>
      <c r="N108" s="3" t="s">
        <v>12</v>
      </c>
      <c r="O108" s="3" t="s">
        <v>12</v>
      </c>
      <c r="P108" s="3" t="s">
        <v>12</v>
      </c>
      <c r="Q108" s="3" t="s">
        <v>12</v>
      </c>
      <c r="R108" s="3" t="s">
        <v>12</v>
      </c>
      <c r="S108" s="3" t="s">
        <v>12</v>
      </c>
      <c r="T108" s="3" t="s">
        <v>12</v>
      </c>
      <c r="U108" s="3" t="s">
        <v>12</v>
      </c>
      <c r="V108" s="3" t="s">
        <v>65</v>
      </c>
    </row>
    <row r="116" spans="1:22" x14ac:dyDescent="0.2">
      <c r="A116" s="1" t="s">
        <v>100</v>
      </c>
      <c r="B116" s="1" t="s">
        <v>490</v>
      </c>
      <c r="C116" s="1" t="s">
        <v>484</v>
      </c>
      <c r="D116" s="1" t="s">
        <v>485</v>
      </c>
      <c r="E116" s="1" t="s">
        <v>432</v>
      </c>
      <c r="F116" s="1" t="s">
        <v>101</v>
      </c>
      <c r="G116" s="1" t="s">
        <v>102</v>
      </c>
      <c r="H116" s="1" t="s">
        <v>180</v>
      </c>
      <c r="I116" s="1" t="s">
        <v>181</v>
      </c>
      <c r="J116" s="1" t="s">
        <v>103</v>
      </c>
      <c r="K116" s="1" t="s">
        <v>182</v>
      </c>
      <c r="L116" s="1" t="s">
        <v>183</v>
      </c>
      <c r="M116" s="1" t="s">
        <v>184</v>
      </c>
      <c r="N116" s="1" t="s">
        <v>104</v>
      </c>
      <c r="O116" s="1" t="s">
        <v>185</v>
      </c>
      <c r="P116" s="1" t="s">
        <v>186</v>
      </c>
      <c r="Q116" s="1" t="s">
        <v>187</v>
      </c>
      <c r="R116" s="1" t="s">
        <v>105</v>
      </c>
      <c r="S116" s="1" t="s">
        <v>188</v>
      </c>
      <c r="T116" s="1" t="s">
        <v>189</v>
      </c>
      <c r="U116" s="1" t="s">
        <v>190</v>
      </c>
      <c r="V116" s="1" t="s">
        <v>476</v>
      </c>
    </row>
    <row r="117" spans="1:22" ht="30" x14ac:dyDescent="0.2">
      <c r="A117" s="1" t="s">
        <v>10</v>
      </c>
      <c r="B117" s="1" t="s">
        <v>433</v>
      </c>
      <c r="C117" s="1" t="s">
        <v>413</v>
      </c>
      <c r="D117" s="1" t="s">
        <v>414</v>
      </c>
      <c r="E117" s="1" t="s">
        <v>405</v>
      </c>
      <c r="F117" s="1" t="s">
        <v>406</v>
      </c>
      <c r="G117" s="1" t="s">
        <v>404</v>
      </c>
      <c r="H117" s="1" t="s">
        <v>415</v>
      </c>
      <c r="I117" s="1" t="s">
        <v>408</v>
      </c>
      <c r="J117" s="1" t="s">
        <v>416</v>
      </c>
      <c r="K117" s="1" t="s">
        <v>417</v>
      </c>
      <c r="L117" s="1" t="s">
        <v>418</v>
      </c>
      <c r="M117" s="1" t="s">
        <v>409</v>
      </c>
      <c r="N117" s="1" t="s">
        <v>419</v>
      </c>
      <c r="O117" s="1" t="s">
        <v>420</v>
      </c>
      <c r="P117" s="1" t="s">
        <v>421</v>
      </c>
      <c r="Q117" s="1" t="s">
        <v>410</v>
      </c>
      <c r="R117" s="1" t="s">
        <v>422</v>
      </c>
      <c r="S117" s="1" t="s">
        <v>423</v>
      </c>
      <c r="T117" s="1" t="s">
        <v>424</v>
      </c>
      <c r="U117" s="1" t="s">
        <v>411</v>
      </c>
      <c r="V117" s="1" t="s">
        <v>476</v>
      </c>
    </row>
    <row r="118" spans="1:22" x14ac:dyDescent="0.2">
      <c r="A118" s="3" t="s">
        <v>17</v>
      </c>
      <c r="B118" s="3">
        <v>-2.68</v>
      </c>
      <c r="C118" s="3">
        <v>3.96</v>
      </c>
      <c r="D118" s="3">
        <v>-15.04</v>
      </c>
      <c r="E118" s="3">
        <v>8.6300000000000008</v>
      </c>
      <c r="F118" s="3">
        <v>11.81</v>
      </c>
      <c r="G118" s="3">
        <v>9.73</v>
      </c>
      <c r="H118" s="3">
        <v>15.81</v>
      </c>
      <c r="I118" s="3">
        <v>9.2799999999999994</v>
      </c>
      <c r="J118" s="3">
        <v>13.9</v>
      </c>
      <c r="K118" s="3">
        <v>12.03</v>
      </c>
      <c r="L118" s="3">
        <v>14.11</v>
      </c>
      <c r="M118" s="3">
        <v>8.39</v>
      </c>
      <c r="N118" s="3">
        <v>11.83</v>
      </c>
      <c r="O118" s="3">
        <v>9.89</v>
      </c>
      <c r="P118" s="3">
        <v>15.2</v>
      </c>
      <c r="Q118" s="3">
        <v>-7.26</v>
      </c>
      <c r="R118" s="3">
        <v>9.59</v>
      </c>
      <c r="S118" s="3">
        <v>6.59</v>
      </c>
      <c r="T118" s="3">
        <v>-4.0999999999999996</v>
      </c>
      <c r="U118" s="3">
        <v>-2.97</v>
      </c>
      <c r="V118" s="3" t="s">
        <v>65</v>
      </c>
    </row>
    <row r="119" spans="1:22" x14ac:dyDescent="0.2">
      <c r="A119" s="3" t="s">
        <v>150</v>
      </c>
      <c r="B119" s="3">
        <v>11.96</v>
      </c>
      <c r="C119" s="3">
        <v>12.2</v>
      </c>
      <c r="D119" s="3">
        <v>12.19</v>
      </c>
      <c r="E119" s="3">
        <v>11.84</v>
      </c>
      <c r="F119" s="3">
        <v>10.38</v>
      </c>
      <c r="G119" s="3">
        <v>11.57</v>
      </c>
      <c r="H119" s="3">
        <v>11.59</v>
      </c>
      <c r="I119" s="3">
        <v>10.89</v>
      </c>
      <c r="J119" s="3">
        <v>8.44</v>
      </c>
      <c r="K119" s="3">
        <v>10.49</v>
      </c>
      <c r="L119" s="3">
        <v>10.42</v>
      </c>
      <c r="M119" s="3">
        <v>10.47</v>
      </c>
      <c r="N119" s="3">
        <v>8.2799999999999994</v>
      </c>
      <c r="O119" s="3">
        <v>10.28</v>
      </c>
      <c r="P119" s="3">
        <v>10.5</v>
      </c>
      <c r="Q119" s="3">
        <v>10.47</v>
      </c>
      <c r="R119" s="3">
        <v>3.31</v>
      </c>
      <c r="S119" s="3">
        <v>6.99</v>
      </c>
      <c r="T119" s="3">
        <v>7.13</v>
      </c>
      <c r="U119" s="3">
        <v>7.08</v>
      </c>
      <c r="V119" s="3" t="s">
        <v>65</v>
      </c>
    </row>
    <row r="120" spans="1:22" x14ac:dyDescent="0.2">
      <c r="A120" s="3" t="s">
        <v>475</v>
      </c>
      <c r="B120" s="3">
        <v>0.62</v>
      </c>
      <c r="C120" s="3">
        <v>0.62</v>
      </c>
      <c r="D120" s="3">
        <v>0.62</v>
      </c>
      <c r="E120" s="3">
        <v>0.62</v>
      </c>
      <c r="F120" s="3">
        <v>2.13</v>
      </c>
      <c r="G120" s="3">
        <v>0.62</v>
      </c>
      <c r="H120" s="3">
        <v>0.62</v>
      </c>
      <c r="I120" s="3">
        <v>0.48</v>
      </c>
      <c r="J120" s="3">
        <v>2.56</v>
      </c>
      <c r="K120" s="3">
        <v>0.43</v>
      </c>
      <c r="L120" s="3">
        <v>0.43</v>
      </c>
      <c r="M120" s="3">
        <v>0.43</v>
      </c>
      <c r="N120" s="3">
        <v>2.83</v>
      </c>
      <c r="O120" s="3">
        <v>0.41</v>
      </c>
      <c r="P120" s="3">
        <v>0.4</v>
      </c>
      <c r="Q120" s="3">
        <v>0.47</v>
      </c>
      <c r="R120" s="3">
        <v>4.3</v>
      </c>
      <c r="S120" s="3">
        <v>0.66</v>
      </c>
      <c r="T120" s="3">
        <v>0.66</v>
      </c>
      <c r="U120" s="3">
        <v>0.67</v>
      </c>
      <c r="V120" s="3" t="s">
        <v>65</v>
      </c>
    </row>
    <row r="121" spans="1:22" x14ac:dyDescent="0.2">
      <c r="A121" s="3" t="s">
        <v>427</v>
      </c>
      <c r="B121" s="3">
        <v>1.78</v>
      </c>
      <c r="C121" s="3">
        <v>0.01</v>
      </c>
      <c r="D121" s="3">
        <v>-0.11</v>
      </c>
      <c r="E121" s="3">
        <v>-0.12</v>
      </c>
      <c r="F121" s="3">
        <v>-0.46</v>
      </c>
      <c r="G121" s="3">
        <v>-0.67</v>
      </c>
      <c r="H121" s="3">
        <v>0.17</v>
      </c>
      <c r="I121" s="3">
        <v>-0.47</v>
      </c>
      <c r="J121" s="3">
        <v>-0.4</v>
      </c>
      <c r="K121" s="3">
        <v>-0.51</v>
      </c>
      <c r="L121" s="3">
        <v>0.14000000000000001</v>
      </c>
      <c r="M121" s="3">
        <v>0.66</v>
      </c>
      <c r="N121" s="3">
        <v>0.53</v>
      </c>
      <c r="O121" s="3">
        <v>7.0000000000000007E-2</v>
      </c>
      <c r="P121" s="3">
        <v>-0.45</v>
      </c>
      <c r="Q121" s="3">
        <v>-0.39</v>
      </c>
      <c r="R121" s="3">
        <v>-0.33</v>
      </c>
      <c r="S121" s="3">
        <v>-0.71</v>
      </c>
      <c r="T121" s="3">
        <v>-2.7</v>
      </c>
      <c r="U121" s="3">
        <v>-0.49</v>
      </c>
      <c r="V121" s="3" t="s">
        <v>65</v>
      </c>
    </row>
    <row r="122" spans="1:22" ht="30" x14ac:dyDescent="0.2">
      <c r="A122" s="3" t="s">
        <v>483</v>
      </c>
      <c r="B122" s="3">
        <v>0.64</v>
      </c>
      <c r="C122" s="3" t="s">
        <v>12</v>
      </c>
      <c r="D122" s="3">
        <v>3.27</v>
      </c>
      <c r="E122" s="3" t="s">
        <v>12</v>
      </c>
      <c r="F122" s="3" t="s">
        <v>12</v>
      </c>
      <c r="G122" s="3" t="s">
        <v>12</v>
      </c>
      <c r="H122" s="3" t="s">
        <v>12</v>
      </c>
      <c r="I122" s="3" t="s">
        <v>12</v>
      </c>
      <c r="J122" s="3" t="s">
        <v>12</v>
      </c>
      <c r="K122" s="3" t="s">
        <v>12</v>
      </c>
      <c r="L122" s="3" t="s">
        <v>12</v>
      </c>
      <c r="M122" s="3" t="s">
        <v>12</v>
      </c>
      <c r="N122" s="3" t="s">
        <v>12</v>
      </c>
      <c r="O122" s="3" t="s">
        <v>12</v>
      </c>
      <c r="P122" s="3" t="s">
        <v>12</v>
      </c>
      <c r="Q122" s="3" t="s">
        <v>12</v>
      </c>
      <c r="R122" s="3" t="s">
        <v>12</v>
      </c>
      <c r="S122" s="3" t="s">
        <v>12</v>
      </c>
      <c r="T122" s="3" t="s">
        <v>12</v>
      </c>
      <c r="U122" s="3" t="s">
        <v>12</v>
      </c>
      <c r="V122" s="3" t="s">
        <v>65</v>
      </c>
    </row>
    <row r="123" spans="1:22" x14ac:dyDescent="0.2">
      <c r="A123" s="3" t="s">
        <v>151</v>
      </c>
      <c r="B123" s="3">
        <v>-0.42</v>
      </c>
      <c r="C123" s="3">
        <v>2.5</v>
      </c>
      <c r="D123" s="3">
        <v>3.07</v>
      </c>
      <c r="E123" s="3">
        <v>1.1000000000000001</v>
      </c>
      <c r="F123" s="3">
        <v>3.57</v>
      </c>
      <c r="G123" s="3">
        <v>3.21</v>
      </c>
      <c r="H123" s="3">
        <v>3.28</v>
      </c>
      <c r="I123" s="3">
        <v>1.98</v>
      </c>
      <c r="J123" s="3">
        <v>3.39</v>
      </c>
      <c r="K123" s="3">
        <v>3.41</v>
      </c>
      <c r="L123" s="3">
        <v>2.88</v>
      </c>
      <c r="M123" s="3">
        <v>0.75</v>
      </c>
      <c r="N123" s="3">
        <v>2.76</v>
      </c>
      <c r="O123" s="3">
        <v>2.98</v>
      </c>
      <c r="P123" s="3">
        <v>3.24</v>
      </c>
      <c r="Q123" s="3">
        <v>2.2599999999999998</v>
      </c>
      <c r="R123" s="3">
        <v>2.1800000000000002</v>
      </c>
      <c r="S123" s="3">
        <v>1.85</v>
      </c>
      <c r="T123" s="3">
        <v>1.92</v>
      </c>
      <c r="U123" s="3">
        <v>2.0699999999999998</v>
      </c>
      <c r="V123" s="3" t="s">
        <v>65</v>
      </c>
    </row>
    <row r="124" spans="1:22" x14ac:dyDescent="0.2">
      <c r="A124" s="3" t="s">
        <v>152</v>
      </c>
      <c r="B124" s="3">
        <v>-2.78</v>
      </c>
      <c r="C124" s="3">
        <v>1.1399999999999999</v>
      </c>
      <c r="D124" s="3">
        <v>11.31</v>
      </c>
      <c r="E124" s="3">
        <v>3.43</v>
      </c>
      <c r="F124" s="3">
        <v>-7.35</v>
      </c>
      <c r="G124" s="3">
        <v>7.24</v>
      </c>
      <c r="H124" s="3">
        <v>-1.65</v>
      </c>
      <c r="I124" s="3">
        <v>0.8</v>
      </c>
      <c r="J124" s="3">
        <v>2.7</v>
      </c>
      <c r="K124" s="3">
        <v>2</v>
      </c>
      <c r="L124" s="3">
        <v>-0.79</v>
      </c>
      <c r="M124" s="3">
        <v>3.22</v>
      </c>
      <c r="N124" s="3">
        <v>2.15</v>
      </c>
      <c r="O124" s="3">
        <v>1.3</v>
      </c>
      <c r="P124" s="3">
        <v>1.63</v>
      </c>
      <c r="Q124" s="3">
        <v>16.55</v>
      </c>
      <c r="R124" s="3">
        <v>0.47</v>
      </c>
      <c r="S124" s="3">
        <v>1.22</v>
      </c>
      <c r="T124" s="3">
        <v>12.99</v>
      </c>
      <c r="U124" s="3">
        <v>3.1</v>
      </c>
      <c r="V124" s="3" t="s">
        <v>65</v>
      </c>
    </row>
    <row r="125" spans="1:22" x14ac:dyDescent="0.2">
      <c r="A125" s="3" t="s">
        <v>372</v>
      </c>
      <c r="B125" s="3">
        <v>-5.77</v>
      </c>
      <c r="C125" s="3">
        <v>7.87</v>
      </c>
      <c r="D125" s="3">
        <v>-0.96</v>
      </c>
      <c r="E125" s="3">
        <v>3.35</v>
      </c>
      <c r="F125" s="3">
        <v>0.48</v>
      </c>
      <c r="G125" s="3">
        <v>-3.5</v>
      </c>
      <c r="H125" s="3">
        <v>-3.76</v>
      </c>
      <c r="I125" s="3">
        <v>-7.65</v>
      </c>
      <c r="J125" s="3">
        <v>-3.46</v>
      </c>
      <c r="K125" s="3">
        <v>-1.78</v>
      </c>
      <c r="L125" s="3">
        <v>-10.88</v>
      </c>
      <c r="M125" s="3">
        <v>11.27</v>
      </c>
      <c r="N125" s="3">
        <v>-22.92</v>
      </c>
      <c r="O125" s="3">
        <v>5.64</v>
      </c>
      <c r="P125" s="3">
        <v>-3.75</v>
      </c>
      <c r="Q125" s="3">
        <v>2.04</v>
      </c>
      <c r="R125" s="3">
        <v>-12.78</v>
      </c>
      <c r="S125" s="3">
        <v>0.66</v>
      </c>
      <c r="T125" s="3">
        <v>5.64</v>
      </c>
      <c r="U125" s="3">
        <v>27.96</v>
      </c>
      <c r="V125" s="3" t="s">
        <v>65</v>
      </c>
    </row>
    <row r="126" spans="1:22" x14ac:dyDescent="0.2">
      <c r="A126" s="3" t="s">
        <v>153</v>
      </c>
      <c r="B126" s="3">
        <v>5.85</v>
      </c>
      <c r="C126" s="3">
        <v>-6.62</v>
      </c>
      <c r="D126" s="3">
        <v>3.34</v>
      </c>
      <c r="E126" s="3">
        <v>-15.61</v>
      </c>
      <c r="F126" s="3">
        <v>16.45</v>
      </c>
      <c r="G126" s="3">
        <v>4.6500000000000004</v>
      </c>
      <c r="H126" s="3">
        <v>-3.2</v>
      </c>
      <c r="I126" s="3">
        <v>-19.21</v>
      </c>
      <c r="J126" s="3">
        <v>22.61</v>
      </c>
      <c r="K126" s="3">
        <v>-0.95</v>
      </c>
      <c r="L126" s="3">
        <v>-9.2899999999999991</v>
      </c>
      <c r="M126" s="3">
        <v>-21.47</v>
      </c>
      <c r="N126" s="3">
        <v>2.0099999999999998</v>
      </c>
      <c r="O126" s="3">
        <v>-20.260000000000002</v>
      </c>
      <c r="P126" s="3">
        <v>-11.16</v>
      </c>
      <c r="Q126" s="3">
        <v>-10.8</v>
      </c>
      <c r="R126" s="3">
        <v>-0.13</v>
      </c>
      <c r="S126" s="3">
        <v>1.8</v>
      </c>
      <c r="T126" s="3">
        <v>15.06</v>
      </c>
      <c r="U126" s="3">
        <v>3.92</v>
      </c>
      <c r="V126" s="3" t="s">
        <v>65</v>
      </c>
    </row>
    <row r="127" spans="1:22" x14ac:dyDescent="0.2">
      <c r="A127" s="3" t="s">
        <v>154</v>
      </c>
      <c r="B127" s="3">
        <v>19.21</v>
      </c>
      <c r="C127" s="3">
        <v>2.65</v>
      </c>
      <c r="D127" s="3">
        <v>-2.0699999999999998</v>
      </c>
      <c r="E127" s="3">
        <v>-8.64</v>
      </c>
      <c r="F127" s="3">
        <v>6.14</v>
      </c>
      <c r="G127" s="3">
        <v>4.6100000000000003</v>
      </c>
      <c r="H127" s="3">
        <v>-7.71</v>
      </c>
      <c r="I127" s="3">
        <v>1.72</v>
      </c>
      <c r="J127" s="3">
        <v>4.79</v>
      </c>
      <c r="K127" s="3">
        <v>-7.49</v>
      </c>
      <c r="L127" s="3">
        <v>4.45</v>
      </c>
      <c r="M127" s="3">
        <v>-15.72</v>
      </c>
      <c r="N127" s="3">
        <v>16.91</v>
      </c>
      <c r="O127" s="3">
        <v>2.0499999999999998</v>
      </c>
      <c r="P127" s="3">
        <v>-0.4</v>
      </c>
      <c r="Q127" s="3">
        <v>-5.88</v>
      </c>
      <c r="R127" s="3">
        <v>19.11</v>
      </c>
      <c r="S127" s="3">
        <v>11.31</v>
      </c>
      <c r="T127" s="3">
        <v>-1.83</v>
      </c>
      <c r="U127" s="3">
        <v>-18.25</v>
      </c>
      <c r="V127" s="3" t="s">
        <v>65</v>
      </c>
    </row>
    <row r="128" spans="1:22" ht="30" x14ac:dyDescent="0.2">
      <c r="A128" s="3" t="s">
        <v>155</v>
      </c>
      <c r="B128" s="3">
        <v>7.21</v>
      </c>
      <c r="C128" s="3">
        <v>-12.97</v>
      </c>
      <c r="D128" s="3">
        <v>-6.23</v>
      </c>
      <c r="E128" s="3">
        <v>-15.35</v>
      </c>
      <c r="F128" s="3">
        <v>-4.54</v>
      </c>
      <c r="G128" s="3">
        <v>-8.31</v>
      </c>
      <c r="H128" s="3">
        <v>1.54</v>
      </c>
      <c r="I128" s="3">
        <v>-15.06</v>
      </c>
      <c r="J128" s="3">
        <v>12.21</v>
      </c>
      <c r="K128" s="3">
        <v>-6.88</v>
      </c>
      <c r="L128" s="3">
        <v>5.85</v>
      </c>
      <c r="M128" s="3">
        <v>-9.17</v>
      </c>
      <c r="N128" s="3">
        <v>0.78</v>
      </c>
      <c r="O128" s="3">
        <v>-6.58</v>
      </c>
      <c r="P128" s="3">
        <v>10.11</v>
      </c>
      <c r="Q128" s="3">
        <v>-14.85</v>
      </c>
      <c r="R128" s="3">
        <v>1.23</v>
      </c>
      <c r="S128" s="3">
        <v>-5.38</v>
      </c>
      <c r="T128" s="3">
        <v>2.66</v>
      </c>
      <c r="U128" s="3">
        <v>-13.57</v>
      </c>
      <c r="V128" s="3" t="s">
        <v>65</v>
      </c>
    </row>
    <row r="129" spans="1:22" x14ac:dyDescent="0.2">
      <c r="A129" s="3" t="s">
        <v>156</v>
      </c>
      <c r="B129" s="3">
        <v>35.61</v>
      </c>
      <c r="C129" s="3">
        <v>11.37</v>
      </c>
      <c r="D129" s="3">
        <v>9.39</v>
      </c>
      <c r="E129" s="3">
        <v>-10.76</v>
      </c>
      <c r="F129" s="3">
        <v>38.61</v>
      </c>
      <c r="G129" s="3">
        <v>29.15</v>
      </c>
      <c r="H129" s="3">
        <v>16.690000000000001</v>
      </c>
      <c r="I129" s="3">
        <v>-17.25</v>
      </c>
      <c r="J129" s="3">
        <v>66.73</v>
      </c>
      <c r="K129" s="3">
        <v>10.75</v>
      </c>
      <c r="L129" s="3">
        <v>17.329999999999998</v>
      </c>
      <c r="M129" s="3">
        <v>-11.18</v>
      </c>
      <c r="N129" s="3">
        <v>25.15</v>
      </c>
      <c r="O129" s="3">
        <v>5.79</v>
      </c>
      <c r="P129" s="3">
        <v>25.34</v>
      </c>
      <c r="Q129" s="3">
        <v>-7.4</v>
      </c>
      <c r="R129" s="3">
        <v>26.94</v>
      </c>
      <c r="S129" s="3">
        <v>25.01</v>
      </c>
      <c r="T129" s="3">
        <v>37.43</v>
      </c>
      <c r="U129" s="3">
        <v>9.52</v>
      </c>
      <c r="V129" s="3" t="s">
        <v>65</v>
      </c>
    </row>
    <row r="130" spans="1:22" x14ac:dyDescent="0.2">
      <c r="A130" s="3" t="s">
        <v>197</v>
      </c>
      <c r="B130" s="5">
        <v>-7.7600000000000002E-2</v>
      </c>
      <c r="C130" s="5">
        <v>-0.6099</v>
      </c>
      <c r="D130" s="5">
        <v>-0.4375</v>
      </c>
      <c r="E130" s="3" t="s">
        <v>12</v>
      </c>
      <c r="F130" s="5">
        <v>-0.42149999999999999</v>
      </c>
      <c r="G130" s="5">
        <v>1.7108000000000001</v>
      </c>
      <c r="H130" s="5">
        <v>-3.6799999999999999E-2</v>
      </c>
      <c r="I130" s="3" t="s">
        <v>12</v>
      </c>
      <c r="J130" s="5">
        <v>1.653</v>
      </c>
      <c r="K130" s="5">
        <v>0.85880000000000001</v>
      </c>
      <c r="L130" s="5">
        <v>-0.31619999999999998</v>
      </c>
      <c r="M130" s="3" t="s">
        <v>12</v>
      </c>
      <c r="N130" s="5">
        <v>-6.6400000000000001E-2</v>
      </c>
      <c r="O130" s="5">
        <v>-0.76870000000000005</v>
      </c>
      <c r="P130" s="5">
        <v>-0.32300000000000001</v>
      </c>
      <c r="Q130" s="3" t="s">
        <v>12</v>
      </c>
      <c r="R130" s="5">
        <v>-0.26269999999999999</v>
      </c>
      <c r="S130" s="5">
        <v>-0.2276</v>
      </c>
      <c r="T130" s="5">
        <v>-6.5299999999999997E-2</v>
      </c>
      <c r="U130" s="3" t="s">
        <v>12</v>
      </c>
      <c r="V130" s="3" t="s">
        <v>65</v>
      </c>
    </row>
    <row r="131" spans="1:22" x14ac:dyDescent="0.2">
      <c r="A131" s="3" t="s">
        <v>157</v>
      </c>
      <c r="B131" s="3">
        <v>-6.15</v>
      </c>
      <c r="C131" s="3">
        <v>-5.2</v>
      </c>
      <c r="D131" s="3">
        <v>-5.44</v>
      </c>
      <c r="E131" s="3">
        <v>-4.63</v>
      </c>
      <c r="F131" s="3">
        <v>-8.48</v>
      </c>
      <c r="G131" s="3">
        <v>-6.02</v>
      </c>
      <c r="H131" s="3">
        <v>-5.05</v>
      </c>
      <c r="I131" s="3">
        <v>-5.27</v>
      </c>
      <c r="J131" s="3">
        <v>-3.12</v>
      </c>
      <c r="K131" s="3">
        <v>-4.22</v>
      </c>
      <c r="L131" s="3">
        <v>-2.34</v>
      </c>
      <c r="M131" s="3">
        <v>-2.95</v>
      </c>
      <c r="N131" s="3">
        <v>-3.6</v>
      </c>
      <c r="O131" s="3">
        <v>-2.75</v>
      </c>
      <c r="P131" s="3">
        <v>-3.1</v>
      </c>
      <c r="Q131" s="3">
        <v>-3.65</v>
      </c>
      <c r="R131" s="3">
        <v>-6.4</v>
      </c>
      <c r="S131" s="3">
        <v>-3.13</v>
      </c>
      <c r="T131" s="3">
        <v>-1.69</v>
      </c>
      <c r="U131" s="3">
        <v>-1.0900000000000001</v>
      </c>
      <c r="V131" s="3" t="s">
        <v>65</v>
      </c>
    </row>
    <row r="132" spans="1:22" ht="30" x14ac:dyDescent="0.2">
      <c r="A132" s="3" t="s">
        <v>220</v>
      </c>
      <c r="B132" s="3">
        <v>0.14000000000000001</v>
      </c>
      <c r="C132" s="3" t="s">
        <v>12</v>
      </c>
      <c r="D132" s="3" t="s">
        <v>12</v>
      </c>
      <c r="E132" s="3" t="s">
        <v>12</v>
      </c>
      <c r="F132" s="3" t="s">
        <v>12</v>
      </c>
      <c r="G132" s="3" t="s">
        <v>12</v>
      </c>
      <c r="H132" s="3" t="s">
        <v>12</v>
      </c>
      <c r="I132" s="3" t="s">
        <v>12</v>
      </c>
      <c r="J132" s="3" t="s">
        <v>12</v>
      </c>
      <c r="K132" s="3" t="s">
        <v>12</v>
      </c>
      <c r="L132" s="3">
        <v>0.37</v>
      </c>
      <c r="M132" s="3" t="s">
        <v>12</v>
      </c>
      <c r="N132" s="3" t="s">
        <v>12</v>
      </c>
      <c r="O132" s="3" t="s">
        <v>12</v>
      </c>
      <c r="P132" s="3">
        <v>0.46</v>
      </c>
      <c r="Q132" s="3" t="s">
        <v>12</v>
      </c>
      <c r="R132" s="3" t="s">
        <v>12</v>
      </c>
      <c r="S132" s="3">
        <v>0.45</v>
      </c>
      <c r="T132" s="3">
        <v>-0.91</v>
      </c>
      <c r="U132" s="3">
        <v>6.36</v>
      </c>
      <c r="V132" s="3" t="s">
        <v>65</v>
      </c>
    </row>
    <row r="133" spans="1:22" x14ac:dyDescent="0.2">
      <c r="A133" s="3" t="s">
        <v>488</v>
      </c>
      <c r="B133" s="3" t="s">
        <v>12</v>
      </c>
      <c r="C133" s="3" t="s">
        <v>12</v>
      </c>
      <c r="D133" s="3" t="s">
        <v>12</v>
      </c>
      <c r="E133" s="3" t="s">
        <v>12</v>
      </c>
      <c r="F133" s="3" t="s">
        <v>12</v>
      </c>
      <c r="G133" s="3" t="s">
        <v>12</v>
      </c>
      <c r="H133" s="3">
        <v>-0.54</v>
      </c>
      <c r="I133" s="3">
        <v>-107.61</v>
      </c>
      <c r="J133" s="3" t="s">
        <v>12</v>
      </c>
      <c r="K133" s="3" t="s">
        <v>12</v>
      </c>
      <c r="L133" s="3" t="s">
        <v>12</v>
      </c>
      <c r="M133" s="3">
        <v>-1.62</v>
      </c>
      <c r="N133" s="3" t="s">
        <v>12</v>
      </c>
      <c r="O133" s="3">
        <v>-66.819999999999993</v>
      </c>
      <c r="P133" s="3">
        <v>2.36</v>
      </c>
      <c r="Q133" s="3">
        <v>-475.31</v>
      </c>
      <c r="R133" s="3" t="s">
        <v>12</v>
      </c>
      <c r="S133" s="3" t="s">
        <v>12</v>
      </c>
      <c r="T133" s="3" t="s">
        <v>12</v>
      </c>
      <c r="U133" s="3" t="s">
        <v>12</v>
      </c>
      <c r="V133" s="3" t="s">
        <v>65</v>
      </c>
    </row>
    <row r="134" spans="1:22" x14ac:dyDescent="0.2">
      <c r="A134" s="3" t="s">
        <v>429</v>
      </c>
      <c r="B134" s="3">
        <v>0.34</v>
      </c>
      <c r="C134" s="3">
        <v>-0.12</v>
      </c>
      <c r="D134" s="3">
        <v>0.56999999999999995</v>
      </c>
      <c r="E134" s="3">
        <v>0.59</v>
      </c>
      <c r="F134" s="3">
        <v>1.08</v>
      </c>
      <c r="G134" s="3">
        <v>-0.92</v>
      </c>
      <c r="H134" s="3">
        <v>-0.9</v>
      </c>
      <c r="I134" s="3">
        <v>0.19</v>
      </c>
      <c r="J134" s="3">
        <v>0.1</v>
      </c>
      <c r="K134" s="3">
        <v>0.34</v>
      </c>
      <c r="L134" s="3">
        <v>-0.23</v>
      </c>
      <c r="M134" s="3">
        <v>-0.57999999999999996</v>
      </c>
      <c r="N134" s="3">
        <v>0.22</v>
      </c>
      <c r="O134" s="3">
        <v>-0.88</v>
      </c>
      <c r="P134" s="3">
        <v>-0.08</v>
      </c>
      <c r="Q134" s="3">
        <v>-1.96</v>
      </c>
      <c r="R134" s="3">
        <v>0</v>
      </c>
      <c r="S134" s="3">
        <v>0.89</v>
      </c>
      <c r="T134" s="3">
        <v>-0.88</v>
      </c>
      <c r="U134" s="3">
        <v>0.15</v>
      </c>
      <c r="V134" s="3" t="s">
        <v>65</v>
      </c>
    </row>
    <row r="135" spans="1:22" x14ac:dyDescent="0.2">
      <c r="A135" s="3" t="s">
        <v>158</v>
      </c>
      <c r="B135" s="3" t="s">
        <v>12</v>
      </c>
      <c r="C135" s="3" t="s">
        <v>12</v>
      </c>
      <c r="D135" s="3" t="s">
        <v>12</v>
      </c>
      <c r="E135" s="3" t="s">
        <v>12</v>
      </c>
      <c r="F135" s="3" t="s">
        <v>12</v>
      </c>
      <c r="G135" s="3" t="s">
        <v>12</v>
      </c>
      <c r="H135" s="3">
        <v>0.14000000000000001</v>
      </c>
      <c r="I135" s="3" t="s">
        <v>12</v>
      </c>
      <c r="J135" s="3" t="s">
        <v>12</v>
      </c>
      <c r="K135" s="3" t="s">
        <v>12</v>
      </c>
      <c r="L135" s="3" t="s">
        <v>12</v>
      </c>
      <c r="M135" s="3">
        <v>0.31</v>
      </c>
      <c r="N135" s="3" t="s">
        <v>12</v>
      </c>
      <c r="O135" s="3">
        <v>0.32</v>
      </c>
      <c r="P135" s="3" t="s">
        <v>12</v>
      </c>
      <c r="Q135" s="3">
        <v>0.48</v>
      </c>
      <c r="R135" s="3" t="s">
        <v>12</v>
      </c>
      <c r="S135" s="3">
        <v>0.1</v>
      </c>
      <c r="T135" s="3">
        <v>0.59</v>
      </c>
      <c r="U135" s="3" t="s">
        <v>12</v>
      </c>
      <c r="V135" s="3" t="s">
        <v>65</v>
      </c>
    </row>
    <row r="136" spans="1:22" x14ac:dyDescent="0.2">
      <c r="A136" s="3" t="s">
        <v>159</v>
      </c>
      <c r="B136" s="3">
        <v>-5.67</v>
      </c>
      <c r="C136" s="3">
        <v>-5.31</v>
      </c>
      <c r="D136" s="3">
        <v>-4.87</v>
      </c>
      <c r="E136" s="3">
        <v>-4.04</v>
      </c>
      <c r="F136" s="3">
        <v>-7.4</v>
      </c>
      <c r="G136" s="3">
        <v>-6.94</v>
      </c>
      <c r="H136" s="3">
        <v>-6.35</v>
      </c>
      <c r="I136" s="3">
        <v>-112.68</v>
      </c>
      <c r="J136" s="3">
        <v>-3.02</v>
      </c>
      <c r="K136" s="3">
        <v>-3.89</v>
      </c>
      <c r="L136" s="3">
        <v>-2.2000000000000002</v>
      </c>
      <c r="M136" s="3">
        <v>-4.83</v>
      </c>
      <c r="N136" s="3">
        <v>-3.38</v>
      </c>
      <c r="O136" s="3">
        <v>-70.14</v>
      </c>
      <c r="P136" s="3">
        <v>-0.36</v>
      </c>
      <c r="Q136" s="3">
        <v>-480.43</v>
      </c>
      <c r="R136" s="3">
        <v>-6.39</v>
      </c>
      <c r="S136" s="3">
        <v>-1.69</v>
      </c>
      <c r="T136" s="3">
        <v>-2.89</v>
      </c>
      <c r="U136" s="3">
        <v>5.43</v>
      </c>
      <c r="V136" s="3" t="s">
        <v>65</v>
      </c>
    </row>
    <row r="137" spans="1:22" x14ac:dyDescent="0.2">
      <c r="A137" s="3" t="s">
        <v>482</v>
      </c>
      <c r="B137" s="3" t="s">
        <v>12</v>
      </c>
      <c r="C137" s="3" t="s">
        <v>12</v>
      </c>
      <c r="D137" s="3" t="s">
        <v>12</v>
      </c>
      <c r="E137" s="3" t="s">
        <v>12</v>
      </c>
      <c r="F137" s="3" t="s">
        <v>12</v>
      </c>
      <c r="G137" s="3" t="s">
        <v>12</v>
      </c>
      <c r="H137" s="3" t="s">
        <v>12</v>
      </c>
      <c r="I137" s="3" t="s">
        <v>12</v>
      </c>
      <c r="J137" s="3" t="s">
        <v>12</v>
      </c>
      <c r="K137" s="3" t="s">
        <v>12</v>
      </c>
      <c r="L137" s="3" t="s">
        <v>12</v>
      </c>
      <c r="M137" s="3" t="s">
        <v>12</v>
      </c>
      <c r="N137" s="3" t="s">
        <v>12</v>
      </c>
      <c r="O137" s="3" t="s">
        <v>12</v>
      </c>
      <c r="P137" s="3" t="s">
        <v>12</v>
      </c>
      <c r="Q137" s="3" t="s">
        <v>12</v>
      </c>
      <c r="R137" s="3" t="s">
        <v>12</v>
      </c>
      <c r="S137" s="3" t="s">
        <v>12</v>
      </c>
      <c r="T137" s="3" t="s">
        <v>12</v>
      </c>
      <c r="U137" s="3">
        <v>25</v>
      </c>
      <c r="V137" s="3" t="s">
        <v>65</v>
      </c>
    </row>
    <row r="138" spans="1:22" x14ac:dyDescent="0.2">
      <c r="A138" s="3" t="s">
        <v>412</v>
      </c>
      <c r="B138" s="3" t="s">
        <v>12</v>
      </c>
      <c r="C138" s="3" t="s">
        <v>12</v>
      </c>
      <c r="D138" s="3" t="s">
        <v>12</v>
      </c>
      <c r="E138" s="3" t="s">
        <v>12</v>
      </c>
      <c r="F138" s="3" t="s">
        <v>12</v>
      </c>
      <c r="G138" s="3" t="s">
        <v>12</v>
      </c>
      <c r="H138" s="3" t="s">
        <v>12</v>
      </c>
      <c r="I138" s="3">
        <v>120</v>
      </c>
      <c r="J138" s="3" t="s">
        <v>12</v>
      </c>
      <c r="K138" s="3" t="s">
        <v>12</v>
      </c>
      <c r="L138" s="3" t="s">
        <v>12</v>
      </c>
      <c r="M138" s="3" t="s">
        <v>12</v>
      </c>
      <c r="N138" s="3" t="s">
        <v>12</v>
      </c>
      <c r="O138" s="3" t="s">
        <v>12</v>
      </c>
      <c r="P138" s="3" t="s">
        <v>12</v>
      </c>
      <c r="Q138" s="3">
        <v>650</v>
      </c>
      <c r="R138" s="3" t="s">
        <v>12</v>
      </c>
      <c r="S138" s="3" t="s">
        <v>12</v>
      </c>
      <c r="T138" s="3" t="s">
        <v>12</v>
      </c>
      <c r="U138" s="3" t="s">
        <v>12</v>
      </c>
      <c r="V138" s="3" t="s">
        <v>65</v>
      </c>
    </row>
    <row r="139" spans="1:22" x14ac:dyDescent="0.2">
      <c r="A139" s="3" t="s">
        <v>160</v>
      </c>
      <c r="B139" s="3" t="s">
        <v>12</v>
      </c>
      <c r="C139" s="3" t="s">
        <v>12</v>
      </c>
      <c r="D139" s="3" t="s">
        <v>12</v>
      </c>
      <c r="E139" s="3" t="s">
        <v>12</v>
      </c>
      <c r="F139" s="3" t="s">
        <v>12</v>
      </c>
      <c r="G139" s="3" t="s">
        <v>12</v>
      </c>
      <c r="H139" s="3" t="s">
        <v>12</v>
      </c>
      <c r="I139" s="3">
        <v>120</v>
      </c>
      <c r="J139" s="3" t="s">
        <v>12</v>
      </c>
      <c r="K139" s="3" t="s">
        <v>12</v>
      </c>
      <c r="L139" s="3" t="s">
        <v>12</v>
      </c>
      <c r="M139" s="3" t="s">
        <v>12</v>
      </c>
      <c r="N139" s="3" t="s">
        <v>12</v>
      </c>
      <c r="O139" s="3">
        <v>75</v>
      </c>
      <c r="P139" s="3" t="s">
        <v>12</v>
      </c>
      <c r="Q139" s="3">
        <v>650</v>
      </c>
      <c r="R139" s="3" t="s">
        <v>12</v>
      </c>
      <c r="S139" s="3" t="s">
        <v>12</v>
      </c>
      <c r="T139" s="3" t="s">
        <v>12</v>
      </c>
      <c r="U139" s="3">
        <v>25</v>
      </c>
      <c r="V139" s="3" t="s">
        <v>65</v>
      </c>
    </row>
    <row r="140" spans="1:22" x14ac:dyDescent="0.2">
      <c r="A140" s="3" t="s">
        <v>161</v>
      </c>
      <c r="B140" s="3" t="s">
        <v>12</v>
      </c>
      <c r="C140" s="3" t="s">
        <v>12</v>
      </c>
      <c r="D140" s="3" t="s">
        <v>12</v>
      </c>
      <c r="E140" s="3">
        <v>-20.16</v>
      </c>
      <c r="F140" s="3" t="s">
        <v>12</v>
      </c>
      <c r="G140" s="3" t="s">
        <v>12</v>
      </c>
      <c r="H140" s="3" t="s">
        <v>12</v>
      </c>
      <c r="I140" s="3">
        <v>-10.14</v>
      </c>
      <c r="J140" s="3" t="s">
        <v>12</v>
      </c>
      <c r="K140" s="3" t="s">
        <v>12</v>
      </c>
      <c r="L140" s="3" t="s">
        <v>12</v>
      </c>
      <c r="M140" s="3">
        <v>-10.130000000000001</v>
      </c>
      <c r="N140" s="3" t="s">
        <v>12</v>
      </c>
      <c r="O140" s="3" t="s">
        <v>12</v>
      </c>
      <c r="P140" s="3" t="s">
        <v>12</v>
      </c>
      <c r="Q140" s="3">
        <v>-455.04</v>
      </c>
      <c r="R140" s="3" t="s">
        <v>12</v>
      </c>
      <c r="S140" s="3" t="s">
        <v>12</v>
      </c>
      <c r="T140" s="3" t="s">
        <v>12</v>
      </c>
      <c r="U140" s="3">
        <v>-1.1100000000000001</v>
      </c>
      <c r="V140" s="3" t="s">
        <v>65</v>
      </c>
    </row>
    <row r="141" spans="1:22" x14ac:dyDescent="0.2">
      <c r="A141" s="3" t="s">
        <v>162</v>
      </c>
      <c r="B141" s="3">
        <v>-15.18</v>
      </c>
      <c r="C141" s="3">
        <v>-15.17</v>
      </c>
      <c r="D141" s="3">
        <v>-10.17</v>
      </c>
      <c r="E141" s="3">
        <v>-20.16</v>
      </c>
      <c r="F141" s="3">
        <v>-20.16</v>
      </c>
      <c r="G141" s="3">
        <v>-15.15</v>
      </c>
      <c r="H141" s="3">
        <v>-15.15</v>
      </c>
      <c r="I141" s="3">
        <v>-10.14</v>
      </c>
      <c r="J141" s="3">
        <v>-10.15</v>
      </c>
      <c r="K141" s="3">
        <v>-10.14</v>
      </c>
      <c r="L141" s="3">
        <v>-10.14</v>
      </c>
      <c r="M141" s="3">
        <v>-10.130000000000001</v>
      </c>
      <c r="N141" s="3">
        <v>-10.119999999999999</v>
      </c>
      <c r="O141" s="3">
        <v>-6.44</v>
      </c>
      <c r="P141" s="3">
        <v>-6.25</v>
      </c>
      <c r="Q141" s="3">
        <v>-455.04</v>
      </c>
      <c r="R141" s="3">
        <v>-1.1100000000000001</v>
      </c>
      <c r="S141" s="3">
        <v>-26.11</v>
      </c>
      <c r="T141" s="3">
        <v>-1.1100000000000001</v>
      </c>
      <c r="U141" s="3">
        <v>-1.1100000000000001</v>
      </c>
      <c r="V141" s="3" t="s">
        <v>65</v>
      </c>
    </row>
    <row r="142" spans="1:22" x14ac:dyDescent="0.2">
      <c r="A142" s="3" t="s">
        <v>163</v>
      </c>
      <c r="B142" s="3">
        <v>-15.18</v>
      </c>
      <c r="C142" s="3">
        <v>-15.17</v>
      </c>
      <c r="D142" s="3">
        <v>-10.17</v>
      </c>
      <c r="E142" s="3">
        <v>-20.16</v>
      </c>
      <c r="F142" s="3">
        <v>-20.16</v>
      </c>
      <c r="G142" s="3">
        <v>-15.15</v>
      </c>
      <c r="H142" s="3">
        <v>-15.15</v>
      </c>
      <c r="I142" s="3">
        <v>109.86</v>
      </c>
      <c r="J142" s="3">
        <v>-10.15</v>
      </c>
      <c r="K142" s="3">
        <v>-10.14</v>
      </c>
      <c r="L142" s="3">
        <v>-10.14</v>
      </c>
      <c r="M142" s="3">
        <v>-10.130000000000001</v>
      </c>
      <c r="N142" s="3">
        <v>-10.119999999999999</v>
      </c>
      <c r="O142" s="3">
        <v>68.56</v>
      </c>
      <c r="P142" s="3">
        <v>-6.25</v>
      </c>
      <c r="Q142" s="3">
        <v>194.96</v>
      </c>
      <c r="R142" s="3">
        <v>-1.1100000000000001</v>
      </c>
      <c r="S142" s="3">
        <v>-26.11</v>
      </c>
      <c r="T142" s="3">
        <v>-1.1100000000000001</v>
      </c>
      <c r="U142" s="3">
        <v>23.89</v>
      </c>
      <c r="V142" s="3" t="s">
        <v>65</v>
      </c>
    </row>
    <row r="143" spans="1:22" x14ac:dyDescent="0.2">
      <c r="A143" s="3" t="s">
        <v>207</v>
      </c>
      <c r="B143" s="3">
        <v>0.01</v>
      </c>
      <c r="C143" s="3">
        <v>0.28000000000000003</v>
      </c>
      <c r="D143" s="3">
        <v>0.02</v>
      </c>
      <c r="E143" s="3">
        <v>0.06</v>
      </c>
      <c r="F143" s="3">
        <v>1.04</v>
      </c>
      <c r="G143" s="3">
        <v>0.06</v>
      </c>
      <c r="H143" s="3">
        <v>0.27</v>
      </c>
      <c r="I143" s="3">
        <v>0.23</v>
      </c>
      <c r="J143" s="3">
        <v>0.01</v>
      </c>
      <c r="K143" s="3">
        <v>0.08</v>
      </c>
      <c r="L143" s="3">
        <v>0.21</v>
      </c>
      <c r="M143" s="3">
        <v>0.42</v>
      </c>
      <c r="N143" s="3">
        <v>0.14000000000000001</v>
      </c>
      <c r="O143" s="3">
        <v>1.1100000000000001</v>
      </c>
      <c r="P143" s="3">
        <v>1.1200000000000001</v>
      </c>
      <c r="Q143" s="3">
        <v>207.29</v>
      </c>
      <c r="R143" s="3">
        <v>0.15</v>
      </c>
      <c r="S143" s="3">
        <v>1.4</v>
      </c>
      <c r="T143" s="3">
        <v>0.24</v>
      </c>
      <c r="U143" s="3">
        <v>0.19</v>
      </c>
      <c r="V143" s="3" t="s">
        <v>65</v>
      </c>
    </row>
    <row r="144" spans="1:22" x14ac:dyDescent="0.2">
      <c r="A144" s="3" t="s">
        <v>198</v>
      </c>
      <c r="B144" s="3">
        <v>-0.06</v>
      </c>
      <c r="C144" s="3">
        <v>-5</v>
      </c>
      <c r="D144" s="3">
        <v>-4.95</v>
      </c>
      <c r="E144" s="3" t="s">
        <v>12</v>
      </c>
      <c r="F144" s="3" t="s">
        <v>12</v>
      </c>
      <c r="G144" s="3" t="s">
        <v>12</v>
      </c>
      <c r="H144" s="3" t="s">
        <v>12</v>
      </c>
      <c r="I144" s="3" t="s">
        <v>12</v>
      </c>
      <c r="J144" s="3" t="s">
        <v>12</v>
      </c>
      <c r="K144" s="3">
        <v>-1</v>
      </c>
      <c r="L144" s="3" t="s">
        <v>12</v>
      </c>
      <c r="M144" s="3" t="s">
        <v>12</v>
      </c>
      <c r="N144" s="3" t="s">
        <v>12</v>
      </c>
      <c r="O144" s="3" t="s">
        <v>12</v>
      </c>
      <c r="P144" s="3" t="s">
        <v>12</v>
      </c>
      <c r="Q144" s="3" t="s">
        <v>12</v>
      </c>
      <c r="R144" s="3" t="s">
        <v>12</v>
      </c>
      <c r="S144" s="3" t="s">
        <v>12</v>
      </c>
      <c r="T144" s="3" t="s">
        <v>12</v>
      </c>
      <c r="U144" s="3" t="s">
        <v>12</v>
      </c>
      <c r="V144" s="3" t="s">
        <v>65</v>
      </c>
    </row>
    <row r="145" spans="1:22" x14ac:dyDescent="0.2">
      <c r="A145" s="3" t="s">
        <v>496</v>
      </c>
      <c r="B145" s="3">
        <v>-2</v>
      </c>
      <c r="C145" s="3">
        <v>-2</v>
      </c>
      <c r="D145" s="3">
        <v>-2.02</v>
      </c>
      <c r="E145" s="3">
        <v>-2.02</v>
      </c>
      <c r="F145" s="3">
        <v>-2.02</v>
      </c>
      <c r="G145" s="3">
        <v>-2.0099999999999998</v>
      </c>
      <c r="H145" s="3">
        <v>-2.0099999999999998</v>
      </c>
      <c r="I145" s="3">
        <v>-2</v>
      </c>
      <c r="J145" s="3">
        <v>-2</v>
      </c>
      <c r="K145" s="3">
        <v>-2.0099999999999998</v>
      </c>
      <c r="L145" s="3">
        <v>-2.0099999999999998</v>
      </c>
      <c r="M145" s="3">
        <v>-2</v>
      </c>
      <c r="N145" s="3">
        <v>-1.71</v>
      </c>
      <c r="O145" s="3">
        <v>-1.71</v>
      </c>
      <c r="P145" s="3">
        <v>-1.71</v>
      </c>
      <c r="Q145" s="3">
        <v>-1.44</v>
      </c>
      <c r="R145" s="3">
        <v>-1.44</v>
      </c>
      <c r="S145" s="3">
        <v>-1.43</v>
      </c>
      <c r="T145" s="3">
        <v>-1.43</v>
      </c>
      <c r="U145" s="3">
        <v>-1.43</v>
      </c>
      <c r="V145" s="3" t="s">
        <v>65</v>
      </c>
    </row>
    <row r="146" spans="1:22" x14ac:dyDescent="0.2">
      <c r="A146" s="3" t="s">
        <v>164</v>
      </c>
      <c r="B146" s="3">
        <v>-0.02</v>
      </c>
      <c r="C146" s="3">
        <v>0.23</v>
      </c>
      <c r="D146" s="3">
        <v>-0.14000000000000001</v>
      </c>
      <c r="E146" s="3">
        <v>-8.4700000000000006</v>
      </c>
      <c r="F146" s="3">
        <v>1.56</v>
      </c>
      <c r="G146" s="3">
        <v>-0.92</v>
      </c>
      <c r="H146" s="3">
        <v>-1.3</v>
      </c>
      <c r="I146" s="3">
        <v>-4.09</v>
      </c>
      <c r="J146" s="3">
        <v>-0.21</v>
      </c>
      <c r="K146" s="3">
        <v>-0.18</v>
      </c>
      <c r="L146" s="3">
        <v>0.41</v>
      </c>
      <c r="M146" s="3">
        <v>-1.17</v>
      </c>
      <c r="N146" s="3">
        <v>-0.86</v>
      </c>
      <c r="O146" s="3">
        <v>-1.57</v>
      </c>
      <c r="P146" s="3">
        <v>-7.0000000000000007E-2</v>
      </c>
      <c r="Q146" s="3">
        <v>-27.06</v>
      </c>
      <c r="R146" s="3">
        <v>-0.1</v>
      </c>
      <c r="S146" s="3">
        <v>-7.0000000000000007E-2</v>
      </c>
      <c r="T146" s="3">
        <v>-0.88</v>
      </c>
      <c r="U146" s="3">
        <v>-0.93</v>
      </c>
      <c r="V146" s="3" t="s">
        <v>65</v>
      </c>
    </row>
    <row r="147" spans="1:22" x14ac:dyDescent="0.2">
      <c r="A147" s="3" t="s">
        <v>165</v>
      </c>
      <c r="B147" s="3">
        <v>-17.25</v>
      </c>
      <c r="C147" s="3">
        <v>-21.66</v>
      </c>
      <c r="D147" s="3">
        <v>-17.260000000000002</v>
      </c>
      <c r="E147" s="3">
        <v>-30.58</v>
      </c>
      <c r="F147" s="3">
        <v>-19.57</v>
      </c>
      <c r="G147" s="3">
        <v>-18.02</v>
      </c>
      <c r="H147" s="3">
        <v>-18.190000000000001</v>
      </c>
      <c r="I147" s="3">
        <v>103.99</v>
      </c>
      <c r="J147" s="3">
        <v>-12.35</v>
      </c>
      <c r="K147" s="3">
        <v>-13.24</v>
      </c>
      <c r="L147" s="3">
        <v>-11.52</v>
      </c>
      <c r="M147" s="3">
        <v>-12.88</v>
      </c>
      <c r="N147" s="3">
        <v>-12.55</v>
      </c>
      <c r="O147" s="3">
        <v>66.39</v>
      </c>
      <c r="P147" s="3">
        <v>-6.9</v>
      </c>
      <c r="Q147" s="3">
        <v>373.76</v>
      </c>
      <c r="R147" s="3">
        <v>-2.5099999999999998</v>
      </c>
      <c r="S147" s="3">
        <v>-26.22</v>
      </c>
      <c r="T147" s="3">
        <v>-3.18</v>
      </c>
      <c r="U147" s="3">
        <v>21.72</v>
      </c>
      <c r="V147" s="3" t="s">
        <v>65</v>
      </c>
    </row>
    <row r="148" spans="1:22" ht="30" x14ac:dyDescent="0.2">
      <c r="A148" s="3" t="s">
        <v>199</v>
      </c>
      <c r="B148" s="3">
        <v>-0.24</v>
      </c>
      <c r="C148" s="3">
        <v>1.1499999999999999</v>
      </c>
      <c r="D148" s="3">
        <v>0.05</v>
      </c>
      <c r="E148" s="3">
        <v>-0.37</v>
      </c>
      <c r="F148" s="3">
        <v>-0.46</v>
      </c>
      <c r="G148" s="3">
        <v>-0.3</v>
      </c>
      <c r="H148" s="3">
        <v>-0.09</v>
      </c>
      <c r="I148" s="3">
        <v>-0.24</v>
      </c>
      <c r="J148" s="3">
        <v>0.28999999999999998</v>
      </c>
      <c r="K148" s="3">
        <v>-0.98</v>
      </c>
      <c r="L148" s="3">
        <v>-0.41</v>
      </c>
      <c r="M148" s="3">
        <v>-0.84</v>
      </c>
      <c r="N148" s="3">
        <v>-0.53</v>
      </c>
      <c r="O148" s="3">
        <v>-0.65</v>
      </c>
      <c r="P148" s="3">
        <v>-1.42</v>
      </c>
      <c r="Q148" s="3">
        <v>0.6</v>
      </c>
      <c r="R148" s="3">
        <v>-3.54</v>
      </c>
      <c r="S148" s="3">
        <v>3.97</v>
      </c>
      <c r="T148" s="3">
        <v>2.97</v>
      </c>
      <c r="U148" s="3">
        <v>1.1200000000000001</v>
      </c>
      <c r="V148" s="3" t="s">
        <v>65</v>
      </c>
    </row>
    <row r="149" spans="1:22" x14ac:dyDescent="0.2">
      <c r="A149" s="3" t="s">
        <v>166</v>
      </c>
      <c r="B149" s="3">
        <v>12.46</v>
      </c>
      <c r="C149" s="3">
        <v>-14.46</v>
      </c>
      <c r="D149" s="3">
        <v>-12.69</v>
      </c>
      <c r="E149" s="3">
        <v>-45.75</v>
      </c>
      <c r="F149" s="3">
        <v>11.18</v>
      </c>
      <c r="G149" s="3">
        <v>3.89</v>
      </c>
      <c r="H149" s="3">
        <v>-7.94</v>
      </c>
      <c r="I149" s="3">
        <v>-26.18</v>
      </c>
      <c r="J149" s="3">
        <v>51.66</v>
      </c>
      <c r="K149" s="3">
        <v>-7.35</v>
      </c>
      <c r="L149" s="3">
        <v>3.21</v>
      </c>
      <c r="M149" s="3">
        <v>-29.73</v>
      </c>
      <c r="N149" s="3">
        <v>8.69</v>
      </c>
      <c r="O149" s="3">
        <v>1.39</v>
      </c>
      <c r="P149" s="3">
        <v>16.66</v>
      </c>
      <c r="Q149" s="3">
        <v>-113.47</v>
      </c>
      <c r="R149" s="3">
        <v>14.5</v>
      </c>
      <c r="S149" s="3">
        <v>1.07</v>
      </c>
      <c r="T149" s="3">
        <v>34.32</v>
      </c>
      <c r="U149" s="3">
        <v>37.79</v>
      </c>
      <c r="V149" s="3" t="s">
        <v>65</v>
      </c>
    </row>
    <row r="150" spans="1:22" x14ac:dyDescent="0.2">
      <c r="A150" s="3" t="s">
        <v>6</v>
      </c>
      <c r="B150" s="3">
        <v>29.47</v>
      </c>
      <c r="C150" s="3">
        <v>6.17</v>
      </c>
      <c r="D150" s="3">
        <v>3.95</v>
      </c>
      <c r="E150" s="3">
        <v>-15.39</v>
      </c>
      <c r="F150" s="3">
        <v>30.13</v>
      </c>
      <c r="G150" s="3">
        <v>23.13</v>
      </c>
      <c r="H150" s="3">
        <v>11.64</v>
      </c>
      <c r="I150" s="3">
        <v>-22.52</v>
      </c>
      <c r="J150" s="3">
        <v>63.61</v>
      </c>
      <c r="K150" s="3">
        <v>6.53</v>
      </c>
      <c r="L150" s="3">
        <v>14.99</v>
      </c>
      <c r="M150" s="3">
        <v>-14.13</v>
      </c>
      <c r="N150" s="3">
        <v>21.56</v>
      </c>
      <c r="O150" s="3">
        <v>3.03</v>
      </c>
      <c r="P150" s="3">
        <v>22.23</v>
      </c>
      <c r="Q150" s="3">
        <v>-11.04</v>
      </c>
      <c r="R150" s="3">
        <v>20.55</v>
      </c>
      <c r="S150" s="3">
        <v>21.88</v>
      </c>
      <c r="T150" s="3">
        <v>35.74</v>
      </c>
      <c r="U150" s="3">
        <v>8.43</v>
      </c>
      <c r="V150" s="3" t="s">
        <v>65</v>
      </c>
    </row>
    <row r="151" spans="1:22" x14ac:dyDescent="0.2">
      <c r="A151" s="3" t="s">
        <v>200</v>
      </c>
      <c r="B151" s="5">
        <v>-2.1899999999999999E-2</v>
      </c>
      <c r="C151" s="5">
        <v>-0.73319999999999996</v>
      </c>
      <c r="D151" s="5">
        <v>-0.66080000000000005</v>
      </c>
      <c r="E151" s="3" t="s">
        <v>12</v>
      </c>
      <c r="F151" s="5">
        <v>-0.52639999999999998</v>
      </c>
      <c r="G151" s="5">
        <v>2.5427</v>
      </c>
      <c r="H151" s="5">
        <v>-0.2233</v>
      </c>
      <c r="I151" s="3" t="s">
        <v>12</v>
      </c>
      <c r="J151" s="5">
        <v>1.9511000000000001</v>
      </c>
      <c r="K151" s="5">
        <v>1.1544000000000001</v>
      </c>
      <c r="L151" s="5">
        <v>-0.32579999999999998</v>
      </c>
      <c r="M151" s="3" t="s">
        <v>12</v>
      </c>
      <c r="N151" s="5">
        <v>4.9200000000000001E-2</v>
      </c>
      <c r="O151" s="5">
        <v>-0.86150000000000004</v>
      </c>
      <c r="P151" s="5">
        <v>-0.37780000000000002</v>
      </c>
      <c r="Q151" s="3" t="s">
        <v>12</v>
      </c>
      <c r="R151" s="5">
        <v>-0.39340000000000003</v>
      </c>
      <c r="S151" s="5">
        <v>-0.28149999999999997</v>
      </c>
      <c r="T151" s="5">
        <v>-3.5499999999999997E-2</v>
      </c>
      <c r="U151" s="3" t="s">
        <v>12</v>
      </c>
      <c r="V151" s="3" t="s">
        <v>65</v>
      </c>
    </row>
    <row r="152" spans="1:22" x14ac:dyDescent="0.2">
      <c r="A152" s="3" t="s">
        <v>117</v>
      </c>
      <c r="B152" s="5">
        <v>0.11940000000000001</v>
      </c>
      <c r="C152" s="5">
        <v>2.64E-2</v>
      </c>
      <c r="D152" s="5">
        <v>1.6299999999999999E-2</v>
      </c>
      <c r="E152" s="5">
        <v>-6.4199999999999993E-2</v>
      </c>
      <c r="F152" s="5">
        <v>0.1135</v>
      </c>
      <c r="G152" s="5">
        <v>9.0999999999999998E-2</v>
      </c>
      <c r="H152" s="5">
        <v>4.5100000000000001E-2</v>
      </c>
      <c r="I152" s="5">
        <v>-9.5600000000000004E-2</v>
      </c>
      <c r="J152" s="5">
        <v>0.25059999999999999</v>
      </c>
      <c r="K152" s="5">
        <v>2.8299999999999999E-2</v>
      </c>
      <c r="L152" s="5">
        <v>6.4699999999999994E-2</v>
      </c>
      <c r="M152" s="5">
        <v>-6.4100000000000004E-2</v>
      </c>
      <c r="N152" s="5">
        <v>8.5099999999999995E-2</v>
      </c>
      <c r="O152" s="5">
        <v>1.4E-2</v>
      </c>
      <c r="P152" s="5">
        <v>9.9400000000000002E-2</v>
      </c>
      <c r="Q152" s="5">
        <v>-5.1700000000000003E-2</v>
      </c>
      <c r="R152" s="5">
        <v>0.1103</v>
      </c>
      <c r="S152" s="5">
        <v>0.13139999999999999</v>
      </c>
      <c r="T152" s="5">
        <v>0.22650000000000001</v>
      </c>
      <c r="U152" s="5">
        <v>6.0600000000000001E-2</v>
      </c>
      <c r="V152" s="3" t="s">
        <v>65</v>
      </c>
    </row>
    <row r="153" spans="1:22" x14ac:dyDescent="0.2">
      <c r="A153" s="3" t="s">
        <v>18</v>
      </c>
      <c r="B153" s="3">
        <v>1.03</v>
      </c>
      <c r="C153" s="3">
        <v>0.21</v>
      </c>
      <c r="D153" s="3">
        <v>0.14000000000000001</v>
      </c>
      <c r="E153" s="3">
        <v>-0.53</v>
      </c>
      <c r="F153" s="3">
        <v>1.03</v>
      </c>
      <c r="G153" s="3">
        <v>0.8</v>
      </c>
      <c r="H153" s="3">
        <v>0.4</v>
      </c>
      <c r="I153" s="3">
        <v>-0.78</v>
      </c>
      <c r="J153" s="3">
        <v>2.2000000000000002</v>
      </c>
      <c r="K153" s="3">
        <v>0.23</v>
      </c>
      <c r="L153" s="3">
        <v>0.52</v>
      </c>
      <c r="M153" s="3">
        <v>-0.49</v>
      </c>
      <c r="N153" s="3">
        <v>0.75</v>
      </c>
      <c r="O153" s="3">
        <v>0.1</v>
      </c>
      <c r="P153" s="3">
        <v>0.77</v>
      </c>
      <c r="Q153" s="3">
        <v>-0.41</v>
      </c>
      <c r="R153" s="3">
        <v>0.84</v>
      </c>
      <c r="S153" s="3">
        <v>0.9</v>
      </c>
      <c r="T153" s="3">
        <v>1.5</v>
      </c>
      <c r="U153" s="3">
        <v>0.35</v>
      </c>
      <c r="V153" s="3" t="s">
        <v>65</v>
      </c>
    </row>
    <row r="154" spans="1:22" x14ac:dyDescent="0.2">
      <c r="A154" s="3" t="s">
        <v>167</v>
      </c>
      <c r="B154" s="3" t="s">
        <v>12</v>
      </c>
      <c r="C154" s="3">
        <v>7.03</v>
      </c>
      <c r="D154" s="3">
        <v>7.83</v>
      </c>
      <c r="E154" s="3">
        <v>7.66</v>
      </c>
      <c r="F154" s="3">
        <v>9.65</v>
      </c>
      <c r="G154" s="3">
        <v>9.2799999999999994</v>
      </c>
      <c r="H154" s="3">
        <v>9.27</v>
      </c>
      <c r="I154" s="3">
        <v>6.79</v>
      </c>
      <c r="J154" s="3">
        <v>7.21</v>
      </c>
      <c r="K154" s="3">
        <v>6.84</v>
      </c>
      <c r="L154" s="3">
        <v>6.3</v>
      </c>
      <c r="M154" s="3">
        <v>5.74</v>
      </c>
      <c r="N154" s="3">
        <v>6.14</v>
      </c>
      <c r="O154" s="3">
        <v>4.0199999999999996</v>
      </c>
      <c r="P154" s="3">
        <v>4.2699999999999996</v>
      </c>
      <c r="Q154" s="3">
        <v>4.4000000000000004</v>
      </c>
      <c r="R154" s="3">
        <v>2.2400000000000002</v>
      </c>
      <c r="S154" s="3" t="s">
        <v>12</v>
      </c>
      <c r="T154" s="3">
        <v>5.0999999999999996</v>
      </c>
      <c r="U154" s="3">
        <v>2.34</v>
      </c>
      <c r="V154" s="3" t="s">
        <v>65</v>
      </c>
    </row>
    <row r="155" spans="1:22" x14ac:dyDescent="0.2">
      <c r="A155" s="3" t="s">
        <v>168</v>
      </c>
      <c r="B155" s="3" t="s">
        <v>12</v>
      </c>
      <c r="C155" s="3">
        <v>0.31</v>
      </c>
      <c r="D155" s="3">
        <v>12.59</v>
      </c>
      <c r="E155" s="3">
        <v>3.85</v>
      </c>
      <c r="F155" s="3">
        <v>6.81</v>
      </c>
      <c r="G155" s="3">
        <v>6.38</v>
      </c>
      <c r="H155" s="3">
        <v>10.48</v>
      </c>
      <c r="I155" s="3">
        <v>4.7</v>
      </c>
      <c r="J155" s="3">
        <v>3.55</v>
      </c>
      <c r="K155" s="3">
        <v>8.2200000000000006</v>
      </c>
      <c r="L155" s="3">
        <v>6.33</v>
      </c>
      <c r="M155" s="3">
        <v>3.94</v>
      </c>
      <c r="N155" s="3">
        <v>5.4</v>
      </c>
      <c r="O155" s="3">
        <v>1.46</v>
      </c>
      <c r="P155" s="3">
        <v>1.75</v>
      </c>
      <c r="Q155" s="3">
        <v>1.1599999999999999</v>
      </c>
      <c r="R155" s="3">
        <v>5.86</v>
      </c>
      <c r="S155" s="3">
        <v>3.09</v>
      </c>
      <c r="T155" s="3">
        <v>0.47</v>
      </c>
      <c r="U155" s="3">
        <v>0.76</v>
      </c>
      <c r="V155" s="3" t="s">
        <v>65</v>
      </c>
    </row>
    <row r="156" spans="1:22" x14ac:dyDescent="0.2">
      <c r="A156" s="3" t="s">
        <v>169</v>
      </c>
      <c r="B156" s="3">
        <v>42.59</v>
      </c>
      <c r="C156" s="3">
        <v>18.47</v>
      </c>
      <c r="D156" s="3">
        <v>-14.26</v>
      </c>
      <c r="E156" s="3">
        <v>-25.35</v>
      </c>
      <c r="F156" s="3">
        <v>25.25</v>
      </c>
      <c r="G156" s="3">
        <v>14.68</v>
      </c>
      <c r="H156" s="3">
        <v>6.24</v>
      </c>
      <c r="I156" s="3">
        <v>-3.12</v>
      </c>
      <c r="J156" s="3">
        <v>67.72</v>
      </c>
      <c r="K156" s="3">
        <v>-1.73</v>
      </c>
      <c r="L156" s="3">
        <v>13.98</v>
      </c>
      <c r="M156" s="3">
        <v>-12.66</v>
      </c>
      <c r="N156" s="3">
        <v>24.25</v>
      </c>
      <c r="O156" s="3">
        <v>-1.99</v>
      </c>
      <c r="P156" s="3">
        <v>17.95</v>
      </c>
      <c r="Q156" s="3">
        <v>-29.66</v>
      </c>
      <c r="R156" s="3">
        <v>25.81</v>
      </c>
      <c r="S156" s="3">
        <v>17.34</v>
      </c>
      <c r="T156" s="3">
        <v>27.41</v>
      </c>
      <c r="U156" s="3">
        <v>16.260000000000002</v>
      </c>
      <c r="V156" s="3" t="s">
        <v>65</v>
      </c>
    </row>
    <row r="157" spans="1:22" x14ac:dyDescent="0.2">
      <c r="A157" s="3" t="s">
        <v>170</v>
      </c>
      <c r="B157" s="3">
        <v>47.05</v>
      </c>
      <c r="C157" s="3">
        <v>22.66</v>
      </c>
      <c r="D157" s="3">
        <v>-9.66</v>
      </c>
      <c r="E157" s="3">
        <v>-20.83</v>
      </c>
      <c r="F157" s="3">
        <v>30.36</v>
      </c>
      <c r="G157" s="3">
        <v>20.27</v>
      </c>
      <c r="H157" s="3">
        <v>12</v>
      </c>
      <c r="I157" s="3">
        <v>1.79</v>
      </c>
      <c r="J157" s="3">
        <v>72.08</v>
      </c>
      <c r="K157" s="3">
        <v>2.4</v>
      </c>
      <c r="L157" s="3">
        <v>17.78</v>
      </c>
      <c r="M157" s="3">
        <v>-9.2100000000000009</v>
      </c>
      <c r="N157" s="3">
        <v>27.53</v>
      </c>
      <c r="O157" s="3">
        <v>0.34</v>
      </c>
      <c r="P157" s="3">
        <v>20.420000000000002</v>
      </c>
      <c r="Q157" s="3">
        <v>-26.5</v>
      </c>
      <c r="R157" s="3">
        <v>26.96</v>
      </c>
      <c r="S157" s="3">
        <v>18.55</v>
      </c>
      <c r="T157" s="3">
        <v>28.63</v>
      </c>
      <c r="U157" s="3">
        <v>17.579999999999998</v>
      </c>
      <c r="V157" s="3" t="s">
        <v>65</v>
      </c>
    </row>
    <row r="158" spans="1:22" x14ac:dyDescent="0.2">
      <c r="A158" s="3" t="s">
        <v>171</v>
      </c>
      <c r="B158" s="3">
        <v>-35.590000000000003</v>
      </c>
      <c r="C158" s="3">
        <v>0.33</v>
      </c>
      <c r="D158" s="3">
        <v>8.17</v>
      </c>
      <c r="E158" s="3">
        <v>41.84</v>
      </c>
      <c r="F158" s="3">
        <v>-6.65</v>
      </c>
      <c r="G158" s="3">
        <v>-1.1100000000000001</v>
      </c>
      <c r="H158" s="3">
        <v>14.98</v>
      </c>
      <c r="I158" s="3">
        <v>20.61</v>
      </c>
      <c r="J158" s="3">
        <v>-44.21</v>
      </c>
      <c r="K158" s="3">
        <v>17.04</v>
      </c>
      <c r="L158" s="3">
        <v>7.22</v>
      </c>
      <c r="M158" s="3">
        <v>31.51</v>
      </c>
      <c r="N158" s="3">
        <v>-2.98</v>
      </c>
      <c r="O158" s="3">
        <v>17.59</v>
      </c>
      <c r="P158" s="3">
        <v>2.98</v>
      </c>
      <c r="Q158" s="3">
        <v>50.13</v>
      </c>
      <c r="R158" s="3">
        <v>-13.78</v>
      </c>
      <c r="S158" s="3">
        <v>-8.25</v>
      </c>
      <c r="T158" s="3">
        <v>-13.34</v>
      </c>
      <c r="U158" s="3">
        <v>-7.32</v>
      </c>
      <c r="V158" s="3" t="s">
        <v>65</v>
      </c>
    </row>
    <row r="167" spans="1:23" x14ac:dyDescent="0.2">
      <c r="A167" s="1" t="s">
        <v>100</v>
      </c>
      <c r="B167" s="1" t="s">
        <v>172</v>
      </c>
      <c r="C167" s="1" t="s">
        <v>490</v>
      </c>
      <c r="D167" s="1" t="s">
        <v>484</v>
      </c>
      <c r="E167" s="1" t="s">
        <v>485</v>
      </c>
      <c r="F167" s="1" t="s">
        <v>432</v>
      </c>
      <c r="G167" s="1" t="s">
        <v>101</v>
      </c>
      <c r="H167" s="1" t="s">
        <v>102</v>
      </c>
      <c r="I167" s="1" t="s">
        <v>180</v>
      </c>
      <c r="J167" s="1" t="s">
        <v>181</v>
      </c>
      <c r="K167" s="1" t="s">
        <v>103</v>
      </c>
      <c r="L167" s="1" t="s">
        <v>182</v>
      </c>
      <c r="M167" s="1" t="s">
        <v>183</v>
      </c>
      <c r="N167" s="1" t="s">
        <v>184</v>
      </c>
      <c r="O167" s="1" t="s">
        <v>104</v>
      </c>
      <c r="P167" s="1" t="s">
        <v>185</v>
      </c>
      <c r="Q167" s="1" t="s">
        <v>186</v>
      </c>
      <c r="R167" s="1" t="s">
        <v>187</v>
      </c>
      <c r="S167" s="1" t="s">
        <v>105</v>
      </c>
      <c r="T167" s="1" t="s">
        <v>188</v>
      </c>
      <c r="U167" s="1" t="s">
        <v>189</v>
      </c>
      <c r="V167" s="1" t="s">
        <v>190</v>
      </c>
      <c r="W167" s="1" t="s">
        <v>476</v>
      </c>
    </row>
    <row r="168" spans="1:23" ht="30" x14ac:dyDescent="0.2">
      <c r="A168" s="1" t="s">
        <v>10</v>
      </c>
      <c r="B168" s="1" t="s">
        <v>497</v>
      </c>
      <c r="C168" s="1" t="s">
        <v>433</v>
      </c>
      <c r="D168" s="1" t="s">
        <v>413</v>
      </c>
      <c r="E168" s="1" t="s">
        <v>414</v>
      </c>
      <c r="F168" s="1" t="s">
        <v>405</v>
      </c>
      <c r="G168" s="1" t="s">
        <v>406</v>
      </c>
      <c r="H168" s="1" t="s">
        <v>404</v>
      </c>
      <c r="I168" s="1" t="s">
        <v>415</v>
      </c>
      <c r="J168" s="1" t="s">
        <v>408</v>
      </c>
      <c r="K168" s="1" t="s">
        <v>416</v>
      </c>
      <c r="L168" s="1" t="s">
        <v>417</v>
      </c>
      <c r="M168" s="1" t="s">
        <v>418</v>
      </c>
      <c r="N168" s="1" t="s">
        <v>409</v>
      </c>
      <c r="O168" s="1" t="s">
        <v>419</v>
      </c>
      <c r="P168" s="1" t="s">
        <v>420</v>
      </c>
      <c r="Q168" s="1" t="s">
        <v>421</v>
      </c>
      <c r="R168" s="1" t="s">
        <v>410</v>
      </c>
      <c r="S168" s="1" t="s">
        <v>422</v>
      </c>
      <c r="T168" s="1" t="s">
        <v>423</v>
      </c>
      <c r="U168" s="1" t="s">
        <v>424</v>
      </c>
      <c r="V168" s="1" t="s">
        <v>411</v>
      </c>
      <c r="W168" s="1" t="s">
        <v>476</v>
      </c>
    </row>
    <row r="169" spans="1:23" ht="17" x14ac:dyDescent="0.2">
      <c r="A169" s="12" t="s">
        <v>173</v>
      </c>
      <c r="B169" s="3">
        <v>412</v>
      </c>
      <c r="C169" s="3">
        <v>484</v>
      </c>
      <c r="D169" s="4">
        <v>1068</v>
      </c>
      <c r="E169" s="4">
        <v>1039</v>
      </c>
      <c r="F169" s="3">
        <v>996</v>
      </c>
      <c r="G169" s="4">
        <v>1282</v>
      </c>
      <c r="H169" s="4">
        <v>1120</v>
      </c>
      <c r="I169" s="4">
        <v>1002</v>
      </c>
      <c r="J169" s="4">
        <v>1167</v>
      </c>
      <c r="K169" s="4">
        <v>1062</v>
      </c>
      <c r="L169" s="3">
        <v>930</v>
      </c>
      <c r="M169" s="3">
        <v>749</v>
      </c>
      <c r="N169" s="3">
        <v>810</v>
      </c>
      <c r="O169" s="4">
        <v>1209</v>
      </c>
      <c r="P169" s="4">
        <v>1316</v>
      </c>
      <c r="Q169" s="4">
        <v>1373</v>
      </c>
      <c r="R169" s="4">
        <v>1367</v>
      </c>
      <c r="S169" s="4">
        <v>1265</v>
      </c>
      <c r="T169" s="3">
        <v>919</v>
      </c>
      <c r="U169" s="3">
        <v>790</v>
      </c>
      <c r="V169" s="3">
        <v>797</v>
      </c>
      <c r="W169" s="3" t="s">
        <v>65</v>
      </c>
    </row>
    <row r="170" spans="1:23" x14ac:dyDescent="0.2">
      <c r="A170" s="3" t="s">
        <v>201</v>
      </c>
      <c r="B170" s="5">
        <v>-0.62209999999999999</v>
      </c>
      <c r="C170" s="5">
        <v>-0.62209999999999999</v>
      </c>
      <c r="D170" s="5">
        <v>-4.6199999999999998E-2</v>
      </c>
      <c r="E170" s="5">
        <v>3.6799999999999999E-2</v>
      </c>
      <c r="F170" s="5">
        <v>-0.14660000000000001</v>
      </c>
      <c r="G170" s="5">
        <v>0.2072</v>
      </c>
      <c r="H170" s="5">
        <v>0.20499999999999999</v>
      </c>
      <c r="I170" s="5">
        <v>0.33760000000000001</v>
      </c>
      <c r="J170" s="5">
        <v>0.44040000000000001</v>
      </c>
      <c r="K170" s="5">
        <v>-0.12139999999999999</v>
      </c>
      <c r="L170" s="5">
        <v>-0.29339999999999999</v>
      </c>
      <c r="M170" s="5">
        <v>-0.4546</v>
      </c>
      <c r="N170" s="5">
        <v>-0.40749999999999997</v>
      </c>
      <c r="O170" s="5">
        <v>-4.4299999999999999E-2</v>
      </c>
      <c r="P170" s="5">
        <v>0.43209999999999998</v>
      </c>
      <c r="Q170" s="5">
        <v>0.73699999999999999</v>
      </c>
      <c r="R170" s="5">
        <v>0.71560000000000001</v>
      </c>
      <c r="S170" s="5">
        <v>1.1346000000000001</v>
      </c>
      <c r="T170" s="5">
        <v>-3.0599999999999999E-2</v>
      </c>
      <c r="U170" s="5">
        <v>-8.14E-2</v>
      </c>
      <c r="V170" s="5">
        <v>-0.18990000000000001</v>
      </c>
      <c r="W170" s="3" t="s">
        <v>65</v>
      </c>
    </row>
    <row r="171" spans="1:23" x14ac:dyDescent="0.2">
      <c r="A171" s="3" t="s">
        <v>9</v>
      </c>
      <c r="B171" s="3">
        <v>830</v>
      </c>
      <c r="C171" s="3">
        <v>988</v>
      </c>
      <c r="D171" s="4">
        <v>1579</v>
      </c>
      <c r="E171" s="4">
        <v>1539</v>
      </c>
      <c r="F171" s="4">
        <v>1465</v>
      </c>
      <c r="G171" s="4">
        <v>1783</v>
      </c>
      <c r="H171" s="4">
        <v>1622</v>
      </c>
      <c r="I171" s="4">
        <v>1517</v>
      </c>
      <c r="J171" s="4">
        <v>1544</v>
      </c>
      <c r="K171" s="4">
        <v>1479</v>
      </c>
      <c r="L171" s="4">
        <v>1345</v>
      </c>
      <c r="M171" s="4">
        <v>1182</v>
      </c>
      <c r="N171" s="4">
        <v>1237</v>
      </c>
      <c r="O171" s="4">
        <v>1657</v>
      </c>
      <c r="P171" s="4">
        <v>1702</v>
      </c>
      <c r="Q171" s="4">
        <v>1785</v>
      </c>
      <c r="R171" s="4">
        <v>1457</v>
      </c>
      <c r="S171" s="4">
        <v>1380</v>
      </c>
      <c r="T171" s="4">
        <v>1054</v>
      </c>
      <c r="U171" s="3">
        <v>955</v>
      </c>
      <c r="V171" s="3">
        <v>974</v>
      </c>
      <c r="W171" s="3" t="s">
        <v>65</v>
      </c>
    </row>
    <row r="172" spans="1:23" x14ac:dyDescent="0.2">
      <c r="A172" s="3" t="s">
        <v>202</v>
      </c>
      <c r="B172" s="3">
        <v>15.27</v>
      </c>
      <c r="C172" s="3">
        <v>16.850000000000001</v>
      </c>
      <c r="D172" s="3">
        <v>36.99</v>
      </c>
      <c r="E172" s="3">
        <v>35.69</v>
      </c>
      <c r="F172" s="3">
        <v>34.17</v>
      </c>
      <c r="G172" s="3">
        <v>44.08</v>
      </c>
      <c r="H172" s="3">
        <v>38.47</v>
      </c>
      <c r="I172" s="3">
        <v>34.35</v>
      </c>
      <c r="J172" s="3">
        <v>39.92</v>
      </c>
      <c r="K172" s="3">
        <v>36.42</v>
      </c>
      <c r="L172" s="3">
        <v>31.77</v>
      </c>
      <c r="M172" s="3">
        <v>25.53</v>
      </c>
      <c r="N172" s="3">
        <v>27.63</v>
      </c>
      <c r="O172" s="3">
        <v>41.21</v>
      </c>
      <c r="P172" s="3">
        <v>44.9</v>
      </c>
      <c r="Q172" s="3">
        <v>46.88</v>
      </c>
      <c r="R172" s="3">
        <v>46.71</v>
      </c>
      <c r="S172" s="3">
        <v>51.02</v>
      </c>
      <c r="T172" s="3">
        <v>37.119999999999997</v>
      </c>
      <c r="U172" s="3">
        <v>31.91</v>
      </c>
      <c r="V172" s="3">
        <v>32.19</v>
      </c>
      <c r="W172" s="3" t="s">
        <v>65</v>
      </c>
    </row>
    <row r="173" spans="1:23" x14ac:dyDescent="0.2">
      <c r="A173" s="3" t="s">
        <v>19</v>
      </c>
      <c r="B173" s="3" t="s">
        <v>12</v>
      </c>
      <c r="C173" s="3" t="s">
        <v>12</v>
      </c>
      <c r="D173" s="3">
        <v>114.21</v>
      </c>
      <c r="E173" s="3" t="s">
        <v>12</v>
      </c>
      <c r="F173" s="3">
        <v>21.66</v>
      </c>
      <c r="G173" s="3">
        <v>27.5</v>
      </c>
      <c r="H173" s="3">
        <v>23</v>
      </c>
      <c r="I173" s="3">
        <v>19.64</v>
      </c>
      <c r="J173" s="3">
        <v>23.66</v>
      </c>
      <c r="K173" s="3">
        <v>21.93</v>
      </c>
      <c r="L173" s="3">
        <v>20.05</v>
      </c>
      <c r="M173" s="3">
        <v>16.93</v>
      </c>
      <c r="N173" s="3">
        <v>17.88</v>
      </c>
      <c r="O173" s="3">
        <v>40.75</v>
      </c>
      <c r="P173" s="3">
        <v>47.98</v>
      </c>
      <c r="Q173" s="3">
        <v>56.93</v>
      </c>
      <c r="R173" s="3" t="s">
        <v>12</v>
      </c>
      <c r="S173" s="3">
        <v>138.88999999999999</v>
      </c>
      <c r="T173" s="3">
        <v>104.81</v>
      </c>
      <c r="U173" s="3" t="s">
        <v>12</v>
      </c>
      <c r="V173" s="3" t="s">
        <v>12</v>
      </c>
      <c r="W173" s="3" t="s">
        <v>65</v>
      </c>
    </row>
    <row r="174" spans="1:23" x14ac:dyDescent="0.2">
      <c r="A174" s="3" t="s">
        <v>48</v>
      </c>
      <c r="B174" s="3">
        <v>5.92</v>
      </c>
      <c r="C174" s="3">
        <v>6.55</v>
      </c>
      <c r="D174" s="3">
        <v>11.99</v>
      </c>
      <c r="E174" s="3">
        <v>11.43</v>
      </c>
      <c r="F174" s="3">
        <v>11.21</v>
      </c>
      <c r="G174" s="3">
        <v>13.93</v>
      </c>
      <c r="H174" s="3">
        <v>12.32</v>
      </c>
      <c r="I174" s="3">
        <v>11.99</v>
      </c>
      <c r="J174" s="3">
        <v>14.35</v>
      </c>
      <c r="K174" s="3">
        <v>13.06</v>
      </c>
      <c r="L174" s="3">
        <v>11.49</v>
      </c>
      <c r="M174" s="3">
        <v>8.69</v>
      </c>
      <c r="N174" s="3">
        <v>9.49</v>
      </c>
      <c r="O174" s="3">
        <v>12.62</v>
      </c>
      <c r="P174" s="3">
        <v>15.42</v>
      </c>
      <c r="Q174" s="3">
        <v>15.54</v>
      </c>
      <c r="R174" s="3">
        <v>20.27</v>
      </c>
      <c r="S174" s="3">
        <v>25.24</v>
      </c>
      <c r="T174" s="3">
        <v>28.91</v>
      </c>
      <c r="U174" s="3">
        <v>24.95</v>
      </c>
      <c r="V174" s="3">
        <v>39.659999999999997</v>
      </c>
      <c r="W174" s="3" t="s">
        <v>65</v>
      </c>
    </row>
    <row r="175" spans="1:23" x14ac:dyDescent="0.2">
      <c r="A175" s="3" t="s">
        <v>20</v>
      </c>
      <c r="B175" s="3">
        <v>0.46</v>
      </c>
      <c r="C175" s="3">
        <v>0.5</v>
      </c>
      <c r="D175" s="3">
        <v>1.0900000000000001</v>
      </c>
      <c r="E175" s="3">
        <v>1.04</v>
      </c>
      <c r="F175" s="3">
        <v>0.98</v>
      </c>
      <c r="G175" s="3">
        <v>1.26</v>
      </c>
      <c r="H175" s="3">
        <v>1.1200000000000001</v>
      </c>
      <c r="I175" s="3">
        <v>1.02</v>
      </c>
      <c r="J175" s="3">
        <v>1.23</v>
      </c>
      <c r="K175" s="3">
        <v>1.1299999999999999</v>
      </c>
      <c r="L175" s="3">
        <v>0.99</v>
      </c>
      <c r="M175" s="3">
        <v>0.81</v>
      </c>
      <c r="N175" s="3">
        <v>0.89</v>
      </c>
      <c r="O175" s="3">
        <v>1.33</v>
      </c>
      <c r="P175" s="3">
        <v>1.57</v>
      </c>
      <c r="Q175" s="3">
        <v>1.74</v>
      </c>
      <c r="R175" s="3">
        <v>1.89</v>
      </c>
      <c r="S175" s="3">
        <v>1.95</v>
      </c>
      <c r="T175" s="3">
        <v>1.41</v>
      </c>
      <c r="U175" s="3">
        <v>1.1499999999999999</v>
      </c>
      <c r="V175" s="3">
        <v>1.08</v>
      </c>
      <c r="W175" s="3" t="s">
        <v>65</v>
      </c>
    </row>
    <row r="176" spans="1:23" x14ac:dyDescent="0.2">
      <c r="A176" s="3" t="s">
        <v>21</v>
      </c>
      <c r="B176" s="3">
        <v>0.5</v>
      </c>
      <c r="C176" s="3">
        <v>0.55000000000000004</v>
      </c>
      <c r="D176" s="3">
        <v>1.23</v>
      </c>
      <c r="E176" s="3">
        <v>1.1599999999999999</v>
      </c>
      <c r="F176" s="3">
        <v>1.1200000000000001</v>
      </c>
      <c r="G176" s="3">
        <v>1.45</v>
      </c>
      <c r="H176" s="3">
        <v>1.27</v>
      </c>
      <c r="I176" s="3">
        <v>1.17</v>
      </c>
      <c r="J176" s="3">
        <v>1.38</v>
      </c>
      <c r="K176" s="3">
        <v>1.27</v>
      </c>
      <c r="L176" s="3">
        <v>1.1499999999999999</v>
      </c>
      <c r="M176" s="3">
        <v>0.96</v>
      </c>
      <c r="N176" s="3">
        <v>1.05</v>
      </c>
      <c r="O176" s="3">
        <v>1.56</v>
      </c>
      <c r="P176" s="3">
        <v>1.76</v>
      </c>
      <c r="Q176" s="3">
        <v>1.87</v>
      </c>
      <c r="R176" s="3">
        <v>1.89</v>
      </c>
      <c r="S176" s="3">
        <v>2.39</v>
      </c>
      <c r="T176" s="3">
        <v>1.85</v>
      </c>
      <c r="U176" s="3">
        <v>1.65</v>
      </c>
      <c r="V176" s="3">
        <v>1.71</v>
      </c>
      <c r="W176" s="3" t="s">
        <v>65</v>
      </c>
    </row>
    <row r="177" spans="1:23" x14ac:dyDescent="0.2">
      <c r="A177" s="3" t="s">
        <v>22</v>
      </c>
      <c r="B177" s="3">
        <v>17.48</v>
      </c>
      <c r="C177" s="3">
        <v>20.02</v>
      </c>
      <c r="D177" s="3">
        <v>42.97</v>
      </c>
      <c r="E177" s="3">
        <v>24.83</v>
      </c>
      <c r="F177" s="3" t="s">
        <v>12</v>
      </c>
      <c r="G177" s="3">
        <v>30.25</v>
      </c>
      <c r="H177" s="3">
        <v>14.76</v>
      </c>
      <c r="I177" s="3">
        <v>16.899999999999999</v>
      </c>
      <c r="J177" s="3" t="s">
        <v>12</v>
      </c>
      <c r="K177" s="3">
        <v>14.96</v>
      </c>
      <c r="L177" s="3">
        <v>32.11</v>
      </c>
      <c r="M177" s="3">
        <v>29.43</v>
      </c>
      <c r="N177" s="3" t="s">
        <v>12</v>
      </c>
      <c r="O177" s="3">
        <v>33.78</v>
      </c>
      <c r="P177" s="3">
        <v>37.840000000000003</v>
      </c>
      <c r="Q177" s="3">
        <v>25.61</v>
      </c>
      <c r="R177" s="3" t="s">
        <v>12</v>
      </c>
      <c r="S177" s="3">
        <v>14.61</v>
      </c>
      <c r="T177" s="3">
        <v>9.19</v>
      </c>
      <c r="U177" s="3">
        <v>7.29</v>
      </c>
      <c r="V177" s="3">
        <v>7.26</v>
      </c>
      <c r="W177" s="3" t="s">
        <v>65</v>
      </c>
    </row>
    <row r="178" spans="1:23" x14ac:dyDescent="0.2">
      <c r="A178" s="3" t="s">
        <v>23</v>
      </c>
      <c r="B178" s="3">
        <v>9.27</v>
      </c>
      <c r="C178" s="3">
        <v>10.62</v>
      </c>
      <c r="D178" s="3">
        <v>21.98</v>
      </c>
      <c r="E178" s="3">
        <v>15.64</v>
      </c>
      <c r="F178" s="3" t="s">
        <v>12</v>
      </c>
      <c r="G178" s="3">
        <v>19.079999999999998</v>
      </c>
      <c r="H178" s="3">
        <v>11.75</v>
      </c>
      <c r="I178" s="3">
        <v>13.02</v>
      </c>
      <c r="J178" s="3" t="s">
        <v>12</v>
      </c>
      <c r="K178" s="3">
        <v>12.7</v>
      </c>
      <c r="L178" s="3">
        <v>22.1</v>
      </c>
      <c r="M178" s="3">
        <v>20.190000000000001</v>
      </c>
      <c r="N178" s="3" t="s">
        <v>12</v>
      </c>
      <c r="O178" s="3">
        <v>24.73</v>
      </c>
      <c r="P178" s="3">
        <v>25.97</v>
      </c>
      <c r="Q178" s="3">
        <v>19.649999999999999</v>
      </c>
      <c r="R178" s="3" t="s">
        <v>12</v>
      </c>
      <c r="S178" s="3">
        <v>12.79</v>
      </c>
      <c r="T178" s="3">
        <v>8.4700000000000006</v>
      </c>
      <c r="U178" s="3">
        <v>6.82</v>
      </c>
      <c r="V178" s="3">
        <v>6.73</v>
      </c>
      <c r="W178" s="3" t="s">
        <v>65</v>
      </c>
    </row>
    <row r="179" spans="1:23" x14ac:dyDescent="0.2">
      <c r="A179" s="3" t="s">
        <v>434</v>
      </c>
      <c r="B179" s="3">
        <v>0.48</v>
      </c>
      <c r="C179" s="3">
        <v>0.5</v>
      </c>
      <c r="D179" s="3">
        <v>0.92</v>
      </c>
      <c r="E179" s="3">
        <v>0.99</v>
      </c>
      <c r="F179" s="3">
        <v>0.97</v>
      </c>
      <c r="G179" s="3">
        <v>1.07</v>
      </c>
      <c r="H179" s="3">
        <v>1.07</v>
      </c>
      <c r="I179" s="3">
        <v>1.04</v>
      </c>
      <c r="J179" s="3">
        <v>1.25</v>
      </c>
      <c r="K179" s="3">
        <v>1.1399999999999999</v>
      </c>
      <c r="L179" s="3">
        <v>1</v>
      </c>
      <c r="M179" s="3">
        <v>0.61</v>
      </c>
      <c r="N179" s="3">
        <v>0.43</v>
      </c>
      <c r="O179" s="3">
        <v>0.61</v>
      </c>
      <c r="P179" s="3">
        <v>0.66</v>
      </c>
      <c r="Q179" s="3">
        <v>0.63</v>
      </c>
      <c r="R179" s="3">
        <v>0.98</v>
      </c>
      <c r="S179" s="3">
        <v>1.91</v>
      </c>
      <c r="T179" s="3">
        <v>2.1800000000000002</v>
      </c>
      <c r="U179" s="3">
        <v>1.88</v>
      </c>
      <c r="V179" s="3">
        <v>2.96</v>
      </c>
      <c r="W179" s="3" t="s">
        <v>65</v>
      </c>
    </row>
    <row r="180" spans="1:23" x14ac:dyDescent="0.2">
      <c r="A180" s="3" t="s">
        <v>24</v>
      </c>
      <c r="B180" s="3">
        <v>0.86</v>
      </c>
      <c r="C180" s="3">
        <v>1.03</v>
      </c>
      <c r="D180" s="3">
        <v>1.61</v>
      </c>
      <c r="E180" s="3">
        <v>1.54</v>
      </c>
      <c r="F180" s="3">
        <v>1.44</v>
      </c>
      <c r="G180" s="3">
        <v>1.76</v>
      </c>
      <c r="H180" s="3">
        <v>1.62</v>
      </c>
      <c r="I180" s="3">
        <v>1.55</v>
      </c>
      <c r="J180" s="3">
        <v>1.62</v>
      </c>
      <c r="K180" s="3">
        <v>1.58</v>
      </c>
      <c r="L180" s="3">
        <v>1.44</v>
      </c>
      <c r="M180" s="3">
        <v>1.28</v>
      </c>
      <c r="N180" s="3">
        <v>1.35</v>
      </c>
      <c r="O180" s="3">
        <v>1.83</v>
      </c>
      <c r="P180" s="3">
        <v>2.0299999999999998</v>
      </c>
      <c r="Q180" s="3">
        <v>2.2599999999999998</v>
      </c>
      <c r="R180" s="3">
        <v>2.0099999999999998</v>
      </c>
      <c r="S180" s="3">
        <v>2.12</v>
      </c>
      <c r="T180" s="3">
        <v>1.61</v>
      </c>
      <c r="U180" s="3">
        <v>1.39</v>
      </c>
      <c r="V180" s="3">
        <v>1.32</v>
      </c>
      <c r="W180" s="3" t="s">
        <v>65</v>
      </c>
    </row>
    <row r="181" spans="1:23" x14ac:dyDescent="0.2">
      <c r="A181" s="3" t="s">
        <v>203</v>
      </c>
      <c r="B181" s="3">
        <v>6.95</v>
      </c>
      <c r="C181" s="3">
        <v>10.99</v>
      </c>
      <c r="D181" s="3">
        <v>14.88</v>
      </c>
      <c r="E181" s="3" t="s">
        <v>12</v>
      </c>
      <c r="F181" s="3">
        <v>9.9700000000000006</v>
      </c>
      <c r="G181" s="3">
        <v>11.94</v>
      </c>
      <c r="H181" s="3">
        <v>10.97</v>
      </c>
      <c r="I181" s="3">
        <v>10.38</v>
      </c>
      <c r="J181" s="3">
        <v>11.09</v>
      </c>
      <c r="K181" s="3">
        <v>10.75</v>
      </c>
      <c r="L181" s="3">
        <v>10.06</v>
      </c>
      <c r="M181" s="3">
        <v>9.16</v>
      </c>
      <c r="N181" s="3">
        <v>9.68</v>
      </c>
      <c r="O181" s="3">
        <v>12.89</v>
      </c>
      <c r="P181" s="3">
        <v>14.58</v>
      </c>
      <c r="Q181" s="3">
        <v>16.66</v>
      </c>
      <c r="R181" s="3">
        <v>15.51</v>
      </c>
      <c r="S181" s="3">
        <v>19.489999999999998</v>
      </c>
      <c r="T181" s="3">
        <v>14.07</v>
      </c>
      <c r="U181" s="3">
        <v>10.93</v>
      </c>
      <c r="V181" s="3">
        <v>9.99</v>
      </c>
      <c r="W181" s="3" t="s">
        <v>65</v>
      </c>
    </row>
    <row r="182" spans="1:23" x14ac:dyDescent="0.2">
      <c r="A182" s="3" t="s">
        <v>204</v>
      </c>
      <c r="B182" s="3">
        <v>11.66</v>
      </c>
      <c r="C182" s="3">
        <v>23.67</v>
      </c>
      <c r="D182" s="3">
        <v>26.55</v>
      </c>
      <c r="E182" s="3" t="s">
        <v>12</v>
      </c>
      <c r="F182" s="3">
        <v>14.43</v>
      </c>
      <c r="G182" s="3">
        <v>17</v>
      </c>
      <c r="H182" s="3">
        <v>15.39</v>
      </c>
      <c r="I182" s="3">
        <v>14.49</v>
      </c>
      <c r="J182" s="3">
        <v>15.59</v>
      </c>
      <c r="K182" s="3">
        <v>15.12</v>
      </c>
      <c r="L182" s="3">
        <v>14.29</v>
      </c>
      <c r="M182" s="3">
        <v>13.19</v>
      </c>
      <c r="N182" s="3">
        <v>14.02</v>
      </c>
      <c r="O182" s="3">
        <v>18.61</v>
      </c>
      <c r="P182" s="3">
        <v>20.7</v>
      </c>
      <c r="Q182" s="3">
        <v>23.53</v>
      </c>
      <c r="R182" s="3">
        <v>22.06</v>
      </c>
      <c r="S182" s="3">
        <v>29.81</v>
      </c>
      <c r="T182" s="3">
        <v>21.29</v>
      </c>
      <c r="U182" s="3">
        <v>15.46</v>
      </c>
      <c r="V182" s="3">
        <v>13.59</v>
      </c>
      <c r="W182" s="3" t="s">
        <v>65</v>
      </c>
    </row>
    <row r="183" spans="1:23" x14ac:dyDescent="0.2">
      <c r="A183" s="3" t="s">
        <v>25</v>
      </c>
      <c r="B183" s="3">
        <v>34.299999999999997</v>
      </c>
      <c r="C183" s="3">
        <v>40.840000000000003</v>
      </c>
      <c r="D183" s="3">
        <v>63.51</v>
      </c>
      <c r="E183" s="3">
        <v>36.799999999999997</v>
      </c>
      <c r="F183" s="3" t="s">
        <v>12</v>
      </c>
      <c r="G183" s="3">
        <v>42.08</v>
      </c>
      <c r="H183" s="3">
        <v>21.37</v>
      </c>
      <c r="I183" s="3">
        <v>25.6</v>
      </c>
      <c r="J183" s="3" t="s">
        <v>12</v>
      </c>
      <c r="K183" s="3">
        <v>20.84</v>
      </c>
      <c r="L183" s="3">
        <v>46.47</v>
      </c>
      <c r="M183" s="3">
        <v>46.47</v>
      </c>
      <c r="N183" s="3" t="s">
        <v>12</v>
      </c>
      <c r="O183" s="3">
        <v>46.33</v>
      </c>
      <c r="P183" s="3">
        <v>48.97</v>
      </c>
      <c r="Q183" s="3">
        <v>33.299999999999997</v>
      </c>
      <c r="R183" s="3" t="s">
        <v>12</v>
      </c>
      <c r="S183" s="3">
        <v>15.93</v>
      </c>
      <c r="T183" s="3">
        <v>10.55</v>
      </c>
      <c r="U183" s="3">
        <v>8.8000000000000007</v>
      </c>
      <c r="V183" s="3">
        <v>8.8699999999999992</v>
      </c>
      <c r="W183" s="3" t="s">
        <v>65</v>
      </c>
    </row>
    <row r="184" spans="1:23" x14ac:dyDescent="0.2">
      <c r="A184" s="3" t="s">
        <v>174</v>
      </c>
      <c r="B184" s="3">
        <v>0.53</v>
      </c>
      <c r="C184" s="3">
        <v>0.53</v>
      </c>
      <c r="D184" s="3">
        <v>0.64</v>
      </c>
      <c r="E184" s="3">
        <v>0.65</v>
      </c>
      <c r="F184" s="3">
        <v>0.66</v>
      </c>
      <c r="G184" s="3">
        <v>0.68</v>
      </c>
      <c r="H184" s="3">
        <v>0.71</v>
      </c>
      <c r="I184" s="3">
        <v>0.73</v>
      </c>
      <c r="J184" s="3">
        <v>0.76</v>
      </c>
      <c r="K184" s="3">
        <v>0.63</v>
      </c>
      <c r="L184" s="3">
        <v>0.64</v>
      </c>
      <c r="M184" s="3">
        <v>0.67</v>
      </c>
      <c r="N184" s="3">
        <v>0.69</v>
      </c>
      <c r="O184" s="3">
        <v>0.72</v>
      </c>
      <c r="P184" s="3">
        <v>0.76</v>
      </c>
      <c r="Q184" s="3">
        <v>0.68</v>
      </c>
      <c r="R184" s="3">
        <v>0.71</v>
      </c>
      <c r="S184" s="3">
        <v>0.56999999999999995</v>
      </c>
      <c r="T184" s="3">
        <v>0.62</v>
      </c>
      <c r="U184" s="3">
        <v>0.69</v>
      </c>
      <c r="V184" s="3">
        <v>0.7</v>
      </c>
      <c r="W184" s="3" t="s">
        <v>65</v>
      </c>
    </row>
    <row r="185" spans="1:23" x14ac:dyDescent="0.2">
      <c r="A185" s="3" t="s">
        <v>175</v>
      </c>
      <c r="B185" s="3">
        <v>3.95</v>
      </c>
      <c r="C185" s="3">
        <v>5.6</v>
      </c>
      <c r="D185" s="3">
        <v>3.37</v>
      </c>
      <c r="E185" s="3">
        <v>50.57</v>
      </c>
      <c r="F185" s="3">
        <v>4.08</v>
      </c>
      <c r="G185" s="3">
        <v>3.74</v>
      </c>
      <c r="H185" s="3">
        <v>4.2699999999999996</v>
      </c>
      <c r="I185" s="3">
        <v>3.27</v>
      </c>
      <c r="J185" s="3">
        <v>4.2699999999999996</v>
      </c>
      <c r="K185" s="3">
        <v>3.48</v>
      </c>
      <c r="L185" s="3">
        <v>3.82</v>
      </c>
      <c r="M185" s="3">
        <v>3.29</v>
      </c>
      <c r="N185" s="3">
        <v>3.79</v>
      </c>
      <c r="O185" s="3">
        <v>4.0599999999999996</v>
      </c>
      <c r="P185" s="3">
        <v>4.84</v>
      </c>
      <c r="Q185" s="3">
        <v>3.27</v>
      </c>
      <c r="R185" s="3">
        <v>3.54</v>
      </c>
      <c r="S185" s="3">
        <v>3.36</v>
      </c>
      <c r="T185" s="3">
        <v>3.96</v>
      </c>
      <c r="U185" s="3">
        <v>3.28</v>
      </c>
      <c r="V185" s="3">
        <v>6.31</v>
      </c>
      <c r="W185" s="3" t="s">
        <v>65</v>
      </c>
    </row>
    <row r="186" spans="1:23" x14ac:dyDescent="0.2">
      <c r="A186" s="3" t="s">
        <v>205</v>
      </c>
      <c r="B186" s="3">
        <v>19.46</v>
      </c>
      <c r="C186" s="3">
        <v>19.46</v>
      </c>
      <c r="D186" s="3">
        <v>22.41</v>
      </c>
      <c r="E186" s="3">
        <v>13.85</v>
      </c>
      <c r="F186" s="3" t="s">
        <v>12</v>
      </c>
      <c r="G186" s="3">
        <v>14.21</v>
      </c>
      <c r="H186" s="3">
        <v>8.23</v>
      </c>
      <c r="I186" s="3">
        <v>10.48</v>
      </c>
      <c r="J186" s="3" t="s">
        <v>12</v>
      </c>
      <c r="K186" s="3">
        <v>7.44</v>
      </c>
      <c r="L186" s="3">
        <v>17.88</v>
      </c>
      <c r="M186" s="3">
        <v>20.49</v>
      </c>
      <c r="N186" s="3" t="s">
        <v>12</v>
      </c>
      <c r="O186" s="3">
        <v>15.47</v>
      </c>
      <c r="P186" s="3">
        <v>16.3</v>
      </c>
      <c r="Q186" s="3">
        <v>9.3699999999999992</v>
      </c>
      <c r="R186" s="3" t="s">
        <v>12</v>
      </c>
      <c r="S186" s="3">
        <v>3.46</v>
      </c>
      <c r="T186" s="3">
        <v>3.11</v>
      </c>
      <c r="U186" s="3">
        <v>3.04</v>
      </c>
      <c r="V186" s="3">
        <v>2.95</v>
      </c>
      <c r="W186" s="3" t="s">
        <v>65</v>
      </c>
    </row>
    <row r="187" spans="1:23" x14ac:dyDescent="0.2">
      <c r="A187" s="3" t="s">
        <v>176</v>
      </c>
      <c r="B187" s="3">
        <v>0.56999999999999995</v>
      </c>
      <c r="C187" s="3">
        <v>0.54</v>
      </c>
      <c r="D187" s="3">
        <v>0.55000000000000004</v>
      </c>
      <c r="E187" s="3">
        <v>0.53</v>
      </c>
      <c r="F187" s="3">
        <v>0.57999999999999996</v>
      </c>
      <c r="G187" s="3">
        <v>0.55000000000000004</v>
      </c>
      <c r="H187" s="3">
        <v>0.56000000000000005</v>
      </c>
      <c r="I187" s="3">
        <v>0.53</v>
      </c>
      <c r="J187" s="3">
        <v>0.61</v>
      </c>
      <c r="K187" s="3">
        <v>0.56000000000000005</v>
      </c>
      <c r="L187" s="3">
        <v>0.56999999999999995</v>
      </c>
      <c r="M187" s="3">
        <v>0.53</v>
      </c>
      <c r="N187" s="3">
        <v>0.6</v>
      </c>
      <c r="O187" s="3">
        <v>0.53</v>
      </c>
      <c r="P187" s="3">
        <v>0.56000000000000005</v>
      </c>
      <c r="Q187" s="3">
        <v>0.63</v>
      </c>
      <c r="R187" s="3">
        <v>0.65</v>
      </c>
      <c r="S187" s="3">
        <v>0.59</v>
      </c>
      <c r="T187" s="3">
        <v>0.56000000000000005</v>
      </c>
      <c r="U187" s="3">
        <v>0.51</v>
      </c>
      <c r="V187" s="3" t="s">
        <v>65</v>
      </c>
    </row>
    <row r="188" spans="1:23" x14ac:dyDescent="0.2">
      <c r="A188" s="3" t="s">
        <v>177</v>
      </c>
      <c r="B188" s="3">
        <v>3.23</v>
      </c>
      <c r="C188" s="3">
        <v>3.27</v>
      </c>
      <c r="D188" s="3">
        <v>2.85</v>
      </c>
      <c r="E188" s="3">
        <v>3.33</v>
      </c>
      <c r="F188" s="3">
        <v>3.12</v>
      </c>
      <c r="G188" s="3">
        <v>3.52</v>
      </c>
      <c r="H188" s="3">
        <v>3.13</v>
      </c>
      <c r="I188" s="3">
        <v>3.09</v>
      </c>
      <c r="J188" s="3">
        <v>3.1</v>
      </c>
      <c r="K188" s="3">
        <v>3.42</v>
      </c>
      <c r="L188" s="3">
        <v>3.02</v>
      </c>
      <c r="M188" s="3">
        <v>3.05</v>
      </c>
      <c r="N188" s="3">
        <v>3.05</v>
      </c>
      <c r="O188" s="3">
        <v>3.87</v>
      </c>
      <c r="P188" s="3">
        <v>3.48</v>
      </c>
      <c r="Q188" s="3">
        <v>3.95</v>
      </c>
      <c r="R188" s="3">
        <v>4.3499999999999996</v>
      </c>
      <c r="S188" s="3">
        <v>4.2699999999999996</v>
      </c>
      <c r="T188" s="3">
        <v>3.94</v>
      </c>
      <c r="U188" s="3">
        <v>3.42</v>
      </c>
      <c r="V188" s="3">
        <v>2.92</v>
      </c>
      <c r="W188" s="3" t="s">
        <v>65</v>
      </c>
    </row>
    <row r="189" spans="1:23" x14ac:dyDescent="0.2">
      <c r="A189" s="3" t="s">
        <v>8</v>
      </c>
      <c r="B189" s="3">
        <v>0.85</v>
      </c>
      <c r="C189" s="3">
        <v>0.85</v>
      </c>
      <c r="D189" s="3">
        <v>0.98</v>
      </c>
      <c r="E189" s="3">
        <v>1.03</v>
      </c>
      <c r="F189" s="3">
        <v>1.06</v>
      </c>
      <c r="G189" s="3">
        <v>1.1299999999999999</v>
      </c>
      <c r="H189" s="3">
        <v>1.06</v>
      </c>
      <c r="I189" s="3">
        <v>1.05</v>
      </c>
      <c r="J189" s="3">
        <v>1.07</v>
      </c>
      <c r="K189" s="3">
        <v>1.22</v>
      </c>
      <c r="L189" s="3">
        <v>1.1100000000000001</v>
      </c>
      <c r="M189" s="3">
        <v>1.08</v>
      </c>
      <c r="N189" s="3">
        <v>1.04</v>
      </c>
      <c r="O189" s="3">
        <v>1.07</v>
      </c>
      <c r="P189" s="3">
        <v>1.02</v>
      </c>
      <c r="Q189" s="3">
        <v>0.98</v>
      </c>
      <c r="R189" s="3">
        <v>0.88</v>
      </c>
      <c r="S189" s="3">
        <v>1.72</v>
      </c>
      <c r="T189" s="3">
        <v>1.99</v>
      </c>
      <c r="U189" s="3">
        <v>1.82</v>
      </c>
      <c r="V189" s="3">
        <v>1.57</v>
      </c>
      <c r="W189" s="3" t="s">
        <v>65</v>
      </c>
    </row>
    <row r="190" spans="1:23" x14ac:dyDescent="0.2">
      <c r="A190" s="3" t="s">
        <v>5</v>
      </c>
      <c r="B190" s="3">
        <v>1.81</v>
      </c>
      <c r="C190" s="3">
        <v>1.81</v>
      </c>
      <c r="D190" s="3">
        <v>2.0299999999999998</v>
      </c>
      <c r="E190" s="3">
        <v>2.04</v>
      </c>
      <c r="F190" s="3">
        <v>2.0699999999999998</v>
      </c>
      <c r="G190" s="3">
        <v>1.96</v>
      </c>
      <c r="H190" s="3">
        <v>1.92</v>
      </c>
      <c r="I190" s="3">
        <v>1.94</v>
      </c>
      <c r="J190" s="3">
        <v>1.95</v>
      </c>
      <c r="K190" s="3">
        <v>2.0499999999999998</v>
      </c>
      <c r="L190" s="3">
        <v>2.15</v>
      </c>
      <c r="M190" s="3">
        <v>2.0699999999999998</v>
      </c>
      <c r="N190" s="3">
        <v>2.02</v>
      </c>
      <c r="O190" s="3">
        <v>1.87</v>
      </c>
      <c r="P190" s="3">
        <v>1.91</v>
      </c>
      <c r="Q190" s="3">
        <v>1.72</v>
      </c>
      <c r="R190" s="3">
        <v>1.56</v>
      </c>
      <c r="S190" s="3">
        <v>2.4</v>
      </c>
      <c r="T190" s="3">
        <v>2.87</v>
      </c>
      <c r="U190" s="3">
        <v>2.63</v>
      </c>
      <c r="V190" s="3">
        <v>2.4500000000000002</v>
      </c>
      <c r="W190" s="3" t="s">
        <v>65</v>
      </c>
    </row>
    <row r="191" spans="1:23" x14ac:dyDescent="0.2">
      <c r="A191" s="3" t="s">
        <v>26</v>
      </c>
      <c r="B191" s="5">
        <v>-1.2200000000000001E-2</v>
      </c>
      <c r="C191" s="5">
        <v>1.7899999999999999E-2</v>
      </c>
      <c r="D191" s="5">
        <v>-6.7500000000000004E-2</v>
      </c>
      <c r="E191" s="5">
        <v>3.9100000000000003E-2</v>
      </c>
      <c r="F191" s="5">
        <v>5.3699999999999998E-2</v>
      </c>
      <c r="G191" s="5">
        <v>4.4900000000000002E-2</v>
      </c>
      <c r="H191" s="5">
        <v>7.4399999999999994E-2</v>
      </c>
      <c r="I191" s="5">
        <v>4.41E-2</v>
      </c>
      <c r="J191" s="5">
        <v>6.7599999999999993E-2</v>
      </c>
      <c r="K191" s="5">
        <v>6.0299999999999999E-2</v>
      </c>
      <c r="L191" s="5">
        <v>7.2400000000000006E-2</v>
      </c>
      <c r="M191" s="5">
        <v>4.3400000000000001E-2</v>
      </c>
      <c r="N191" s="5">
        <v>6.2300000000000001E-2</v>
      </c>
      <c r="O191" s="5">
        <v>5.3400000000000003E-2</v>
      </c>
      <c r="P191" s="5">
        <v>8.3299999999999999E-2</v>
      </c>
      <c r="Q191" s="5">
        <v>-4.6300000000000001E-2</v>
      </c>
      <c r="R191" s="5">
        <v>7.46E-2</v>
      </c>
      <c r="S191" s="5">
        <v>5.3999999999999999E-2</v>
      </c>
      <c r="T191" s="5">
        <v>-3.4700000000000002E-2</v>
      </c>
      <c r="U191" s="5">
        <v>-2.5499999999999998E-2</v>
      </c>
      <c r="V191" s="3" t="s">
        <v>65</v>
      </c>
    </row>
    <row r="192" spans="1:23" x14ac:dyDescent="0.2">
      <c r="A192" s="3" t="s">
        <v>27</v>
      </c>
      <c r="B192" s="5">
        <v>1.3100000000000001E-2</v>
      </c>
      <c r="C192" s="5">
        <v>3.6700000000000003E-2</v>
      </c>
      <c r="D192" s="5">
        <v>-1.8499999999999999E-2</v>
      </c>
      <c r="E192" s="5">
        <v>2.81E-2</v>
      </c>
      <c r="F192" s="5">
        <v>3.6299999999999999E-2</v>
      </c>
      <c r="G192" s="5">
        <v>2.9499999999999998E-2</v>
      </c>
      <c r="H192" s="5">
        <v>4.4299999999999999E-2</v>
      </c>
      <c r="I192" s="5">
        <v>3.3300000000000003E-2</v>
      </c>
      <c r="J192" s="5">
        <v>4.07E-2</v>
      </c>
      <c r="K192" s="5">
        <v>3.2099999999999997E-2</v>
      </c>
      <c r="L192" s="5">
        <v>4.1399999999999999E-2</v>
      </c>
      <c r="M192" s="5">
        <v>3.3799999999999997E-2</v>
      </c>
      <c r="N192" s="5">
        <v>3.5000000000000003E-2</v>
      </c>
      <c r="O192" s="5">
        <v>2.5600000000000001E-2</v>
      </c>
      <c r="P192" s="5">
        <v>4.0399999999999998E-2</v>
      </c>
      <c r="Q192" s="5">
        <v>4.2599999999999999E-2</v>
      </c>
      <c r="R192" s="5">
        <v>3.6299999999999999E-2</v>
      </c>
      <c r="S192" s="5">
        <v>2.2599999999999999E-2</v>
      </c>
      <c r="T192" s="5">
        <v>3.5299999999999998E-2</v>
      </c>
      <c r="U192" s="5">
        <v>8.0000000000000002E-3</v>
      </c>
      <c r="V192" s="3" t="s">
        <v>65</v>
      </c>
    </row>
    <row r="193" spans="1:23" x14ac:dyDescent="0.2">
      <c r="A193" s="3" t="s">
        <v>28</v>
      </c>
      <c r="B193" s="5">
        <v>1.6299999999999999E-2</v>
      </c>
      <c r="C193" s="5">
        <v>4.41E-2</v>
      </c>
      <c r="D193" s="5">
        <v>-2.24E-2</v>
      </c>
      <c r="E193" s="5">
        <v>3.44E-2</v>
      </c>
      <c r="F193" s="5">
        <v>4.48E-2</v>
      </c>
      <c r="G193" s="5">
        <v>3.6600000000000001E-2</v>
      </c>
      <c r="H193" s="5">
        <v>5.5100000000000003E-2</v>
      </c>
      <c r="I193" s="5">
        <v>4.1500000000000002E-2</v>
      </c>
      <c r="J193" s="5">
        <v>5.0599999999999999E-2</v>
      </c>
      <c r="K193" s="5">
        <v>0.04</v>
      </c>
      <c r="L193" s="5">
        <v>5.1700000000000003E-2</v>
      </c>
      <c r="M193" s="5">
        <v>4.2599999999999999E-2</v>
      </c>
      <c r="N193" s="5">
        <v>4.4600000000000001E-2</v>
      </c>
      <c r="O193" s="5">
        <v>3.2599999999999997E-2</v>
      </c>
      <c r="P193" s="5">
        <v>5.1799999999999999E-2</v>
      </c>
      <c r="Q193" s="5">
        <v>5.6399999999999999E-2</v>
      </c>
      <c r="R193" s="5">
        <v>5.0999999999999997E-2</v>
      </c>
      <c r="S193" s="5">
        <v>3.1800000000000002E-2</v>
      </c>
      <c r="T193" s="5">
        <v>4.9299999999999997E-2</v>
      </c>
      <c r="U193" s="5">
        <v>1.14E-2</v>
      </c>
      <c r="V193" s="3" t="s">
        <v>65</v>
      </c>
    </row>
    <row r="194" spans="1:23" ht="30" x14ac:dyDescent="0.2">
      <c r="A194" s="3" t="s">
        <v>29</v>
      </c>
      <c r="B194" s="5">
        <v>4.8000000000000001E-2</v>
      </c>
      <c r="C194" s="5">
        <v>2.8000000000000001E-2</v>
      </c>
      <c r="D194" s="5">
        <v>0.04</v>
      </c>
      <c r="E194" s="3" t="s">
        <v>12</v>
      </c>
      <c r="F194" s="5">
        <v>6.6000000000000003E-2</v>
      </c>
      <c r="G194" s="5">
        <v>6.7000000000000004E-2</v>
      </c>
      <c r="H194" s="5">
        <v>6.6000000000000003E-2</v>
      </c>
      <c r="I194" s="5">
        <v>6.7000000000000004E-2</v>
      </c>
      <c r="J194" s="5">
        <v>6.2E-2</v>
      </c>
      <c r="K194" s="5">
        <v>6.7000000000000004E-2</v>
      </c>
      <c r="L194" s="5">
        <v>6.6000000000000003E-2</v>
      </c>
      <c r="M194" s="5">
        <v>6.4000000000000001E-2</v>
      </c>
      <c r="N194" s="5">
        <v>6.2E-2</v>
      </c>
      <c r="O194" s="5">
        <v>6.2E-2</v>
      </c>
      <c r="P194" s="5">
        <v>5.7000000000000002E-2</v>
      </c>
      <c r="Q194" s="5">
        <v>5.6000000000000001E-2</v>
      </c>
      <c r="R194" s="5">
        <v>4.9000000000000002E-2</v>
      </c>
      <c r="S194" s="5">
        <v>4.8000000000000001E-2</v>
      </c>
      <c r="T194" s="5">
        <v>4.9000000000000002E-2</v>
      </c>
      <c r="U194" s="5">
        <v>6.3E-2</v>
      </c>
      <c r="V194" s="5">
        <v>7.5999999999999998E-2</v>
      </c>
      <c r="W194" s="3" t="s">
        <v>65</v>
      </c>
    </row>
    <row r="195" spans="1:23" x14ac:dyDescent="0.2">
      <c r="A195" s="3" t="s">
        <v>30</v>
      </c>
      <c r="B195" s="5">
        <v>-1.21E-2</v>
      </c>
      <c r="C195" s="5">
        <v>-1.06E-2</v>
      </c>
      <c r="D195" s="5">
        <v>8.8000000000000005E-3</v>
      </c>
      <c r="E195" s="5">
        <v>1.46E-2</v>
      </c>
      <c r="F195" s="5">
        <v>4.6199999999999998E-2</v>
      </c>
      <c r="G195" s="5">
        <v>3.6400000000000002E-2</v>
      </c>
      <c r="H195" s="5">
        <v>4.3499999999999997E-2</v>
      </c>
      <c r="I195" s="5">
        <v>5.0900000000000001E-2</v>
      </c>
      <c r="J195" s="5">
        <v>4.2299999999999997E-2</v>
      </c>
      <c r="K195" s="5">
        <v>4.5600000000000002E-2</v>
      </c>
      <c r="L195" s="5">
        <v>4.99E-2</v>
      </c>
      <c r="M195" s="5">
        <v>5.91E-2</v>
      </c>
      <c r="N195" s="5">
        <v>5.5899999999999998E-2</v>
      </c>
      <c r="O195" s="5">
        <v>2.4500000000000001E-2</v>
      </c>
      <c r="P195" s="5">
        <v>2.0799999999999999E-2</v>
      </c>
      <c r="Q195" s="5">
        <v>1.7600000000000001E-2</v>
      </c>
      <c r="R195" s="5">
        <v>3.5000000000000001E-3</v>
      </c>
      <c r="S195" s="5">
        <v>7.1999999999999998E-3</v>
      </c>
      <c r="T195" s="5">
        <v>9.4999999999999998E-3</v>
      </c>
      <c r="U195" s="5">
        <v>2.1999999999999999E-2</v>
      </c>
      <c r="V195" s="5">
        <v>4.7800000000000002E-2</v>
      </c>
      <c r="W195" s="3" t="s">
        <v>65</v>
      </c>
    </row>
    <row r="196" spans="1:23" x14ac:dyDescent="0.2">
      <c r="A196" s="3" t="s">
        <v>31</v>
      </c>
      <c r="B196" s="5">
        <v>5.7200000000000001E-2</v>
      </c>
      <c r="C196" s="5">
        <v>0.05</v>
      </c>
      <c r="D196" s="5">
        <v>2.3300000000000001E-2</v>
      </c>
      <c r="E196" s="5">
        <v>4.0300000000000002E-2</v>
      </c>
      <c r="F196" s="5">
        <v>4.9700000000000001E-2</v>
      </c>
      <c r="G196" s="5">
        <v>3.3099999999999997E-2</v>
      </c>
      <c r="H196" s="5">
        <v>6.7699999999999996E-2</v>
      </c>
      <c r="I196" s="5">
        <v>5.9200000000000003E-2</v>
      </c>
      <c r="J196" s="5">
        <v>5.3699999999999998E-2</v>
      </c>
      <c r="K196" s="5">
        <v>6.6900000000000001E-2</v>
      </c>
      <c r="L196" s="5">
        <v>3.1099999999999999E-2</v>
      </c>
      <c r="M196" s="5">
        <v>3.4000000000000002E-2</v>
      </c>
      <c r="N196" s="5">
        <v>4.0399999999999998E-2</v>
      </c>
      <c r="O196" s="5">
        <v>2.9600000000000001E-2</v>
      </c>
      <c r="P196" s="5">
        <v>2.64E-2</v>
      </c>
      <c r="Q196" s="5">
        <v>3.9100000000000003E-2</v>
      </c>
      <c r="R196" s="5">
        <v>4.9099999999999998E-2</v>
      </c>
      <c r="S196" s="5">
        <v>6.8500000000000005E-2</v>
      </c>
      <c r="T196" s="5">
        <v>0.10879999999999999</v>
      </c>
      <c r="U196" s="5">
        <v>0.13719999999999999</v>
      </c>
      <c r="V196" s="5">
        <v>0.13780000000000001</v>
      </c>
      <c r="W196" s="3" t="s">
        <v>65</v>
      </c>
    </row>
    <row r="197" spans="1:23" x14ac:dyDescent="0.2">
      <c r="A197" s="3" t="s">
        <v>435</v>
      </c>
      <c r="B197" s="5">
        <v>1.9300000000000001E-2</v>
      </c>
      <c r="C197" s="5">
        <v>1.66E-2</v>
      </c>
      <c r="D197" s="5">
        <v>7.6E-3</v>
      </c>
      <c r="E197" s="5">
        <v>7.7999999999999996E-3</v>
      </c>
      <c r="F197" s="5">
        <v>8.2000000000000007E-3</v>
      </c>
      <c r="G197" s="5">
        <v>6.4000000000000003E-3</v>
      </c>
      <c r="H197" s="5">
        <v>7.3000000000000001E-3</v>
      </c>
      <c r="I197" s="5">
        <v>8.0999999999999996E-3</v>
      </c>
      <c r="J197" s="5">
        <v>7.0000000000000001E-3</v>
      </c>
      <c r="K197" s="5">
        <v>7.7000000000000002E-3</v>
      </c>
      <c r="L197" s="5">
        <v>8.8000000000000005E-3</v>
      </c>
      <c r="M197" s="5">
        <v>1.06E-2</v>
      </c>
      <c r="N197" s="5">
        <v>9.4000000000000004E-3</v>
      </c>
      <c r="O197" s="5">
        <v>6.1000000000000004E-3</v>
      </c>
      <c r="P197" s="5">
        <v>5.3E-3</v>
      </c>
      <c r="Q197" s="5">
        <v>5.1000000000000004E-3</v>
      </c>
      <c r="R197" s="5">
        <v>5.1000000000000004E-3</v>
      </c>
      <c r="S197" s="5">
        <v>4.7000000000000002E-3</v>
      </c>
      <c r="T197" s="5">
        <v>6.4999999999999997E-3</v>
      </c>
      <c r="U197" s="5">
        <v>7.4999999999999997E-3</v>
      </c>
      <c r="V197" s="5">
        <v>7.4999999999999997E-3</v>
      </c>
      <c r="W197" s="3" t="s">
        <v>65</v>
      </c>
    </row>
    <row r="198" spans="1:23" x14ac:dyDescent="0.2">
      <c r="A198" s="3" t="s">
        <v>436</v>
      </c>
      <c r="B198" s="3" t="s">
        <v>12</v>
      </c>
      <c r="C198" s="3" t="s">
        <v>12</v>
      </c>
      <c r="D198" s="5">
        <v>0.50529999999999997</v>
      </c>
      <c r="E198" s="3" t="s">
        <v>12</v>
      </c>
      <c r="F198" s="5">
        <v>0.2336</v>
      </c>
      <c r="G198" s="5">
        <v>0.17080000000000001</v>
      </c>
      <c r="H198" s="5">
        <v>0.20680000000000001</v>
      </c>
      <c r="I198" s="5">
        <v>0.12720000000000001</v>
      </c>
      <c r="J198" s="5">
        <v>0.21609999999999999</v>
      </c>
      <c r="K198" s="5">
        <v>0.14410000000000001</v>
      </c>
      <c r="L198" s="5">
        <v>0.16669999999999999</v>
      </c>
      <c r="M198" s="5">
        <v>0.1421</v>
      </c>
      <c r="N198" s="5">
        <v>0.2379</v>
      </c>
      <c r="O198" s="5">
        <v>0.14460000000000001</v>
      </c>
      <c r="P198" s="5">
        <v>0.17249999999999999</v>
      </c>
      <c r="Q198" s="5">
        <v>0.11219999999999999</v>
      </c>
      <c r="R198" s="3" t="s">
        <v>12</v>
      </c>
      <c r="S198" s="5">
        <v>0.15010000000000001</v>
      </c>
      <c r="T198" s="5">
        <v>0.2175</v>
      </c>
      <c r="U198" s="3" t="s">
        <v>12</v>
      </c>
      <c r="V198" s="3" t="s">
        <v>12</v>
      </c>
      <c r="W198" s="3" t="s">
        <v>65</v>
      </c>
    </row>
    <row r="199" spans="1:23" x14ac:dyDescent="0.2">
      <c r="A199" s="3" t="s">
        <v>206</v>
      </c>
      <c r="B199" s="5">
        <v>9.9000000000000008E-3</v>
      </c>
      <c r="C199" s="5">
        <v>1.7600000000000001E-2</v>
      </c>
      <c r="D199" s="5">
        <v>3.5999999999999999E-3</v>
      </c>
      <c r="E199" s="5">
        <v>4.5999999999999999E-3</v>
      </c>
      <c r="F199" s="5">
        <v>-7.7000000000000002E-3</v>
      </c>
      <c r="G199" s="5">
        <v>-8.9999999999999993E-3</v>
      </c>
      <c r="H199" s="5">
        <v>-7.4000000000000003E-3</v>
      </c>
      <c r="I199" s="5">
        <v>-8.8000000000000005E-3</v>
      </c>
      <c r="J199" s="5">
        <v>-7.1999999999999998E-3</v>
      </c>
      <c r="K199" s="5">
        <v>-8.0000000000000004E-4</v>
      </c>
      <c r="L199" s="5">
        <v>2.0999999999999999E-3</v>
      </c>
      <c r="M199" s="5">
        <v>2.9999999999999997E-4</v>
      </c>
      <c r="N199" s="5">
        <v>-7.2400000000000006E-2</v>
      </c>
      <c r="O199" s="5">
        <v>-0.183</v>
      </c>
      <c r="P199" s="5">
        <v>-0.19170000000000001</v>
      </c>
      <c r="Q199" s="5">
        <v>-0.20399999999999999</v>
      </c>
      <c r="R199" s="5">
        <v>-0.1244</v>
      </c>
      <c r="S199" s="5">
        <v>-1.8599999999999998E-2</v>
      </c>
      <c r="T199" s="5">
        <v>-7.1000000000000004E-3</v>
      </c>
      <c r="U199" s="5">
        <v>1.8E-3</v>
      </c>
      <c r="V199" s="5">
        <v>-1E-3</v>
      </c>
      <c r="W199" s="3" t="s">
        <v>65</v>
      </c>
    </row>
    <row r="200" spans="1:23" x14ac:dyDescent="0.2">
      <c r="A200" s="3" t="s">
        <v>498</v>
      </c>
      <c r="B200" s="5">
        <v>2.87E-2</v>
      </c>
      <c r="C200" s="5">
        <v>3.4299999999999997E-2</v>
      </c>
      <c r="D200" s="5">
        <v>1.11E-2</v>
      </c>
      <c r="E200" s="5">
        <v>1.24E-2</v>
      </c>
      <c r="F200" s="5">
        <v>5.0000000000000001E-4</v>
      </c>
      <c r="G200" s="5">
        <v>-2.7000000000000001E-3</v>
      </c>
      <c r="H200" s="5">
        <v>-1E-4</v>
      </c>
      <c r="I200" s="5">
        <v>-6.9999999999999999E-4</v>
      </c>
      <c r="J200" s="5">
        <v>-2.0000000000000001E-4</v>
      </c>
      <c r="K200" s="5">
        <v>6.8999999999999999E-3</v>
      </c>
      <c r="L200" s="5">
        <v>1.0999999999999999E-2</v>
      </c>
      <c r="M200" s="5">
        <v>1.09E-2</v>
      </c>
      <c r="N200" s="5">
        <v>-6.3E-2</v>
      </c>
      <c r="O200" s="5">
        <v>-0.1769</v>
      </c>
      <c r="P200" s="5">
        <v>-0.18629999999999999</v>
      </c>
      <c r="Q200" s="5">
        <v>-0.19889999999999999</v>
      </c>
      <c r="R200" s="5">
        <v>-0.1192</v>
      </c>
      <c r="S200" s="5">
        <v>-1.3899999999999999E-2</v>
      </c>
      <c r="T200" s="5">
        <v>-5.9999999999999995E-4</v>
      </c>
      <c r="U200" s="5">
        <v>9.2999999999999992E-3</v>
      </c>
      <c r="V200" s="5">
        <v>6.4000000000000003E-3</v>
      </c>
      <c r="W200" s="3" t="s">
        <v>65</v>
      </c>
    </row>
  </sheetData>
  <hyperlinks>
    <hyperlink ref="A7" r:id="rId1" display="file:///stocks/cmco/revenue" xr:uid="{9EADD6EC-8DD3-0D4D-9CE0-104EB4272494}"/>
    <hyperlink ref="A169" r:id="rId2" display="file:///stocks/cmco/market-cap" xr:uid="{D54D6A1B-6F51-7940-AF39-3207FCC7D02B}"/>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F7F53B-604F-4042-A9A7-A98C726C143A}">
  <sheetPr codeName="Sheet1">
    <tabColor theme="2" tint="-0.249977111117893"/>
  </sheetPr>
  <dimension ref="A5:W197"/>
  <sheetViews>
    <sheetView zoomScale="133" workbookViewId="0">
      <selection activeCell="B11" sqref="B11"/>
    </sheetView>
  </sheetViews>
  <sheetFormatPr baseColWidth="10" defaultRowHeight="16" x14ac:dyDescent="0.2"/>
  <cols>
    <col min="1" max="1" width="25.1640625" bestFit="1" customWidth="1"/>
    <col min="2" max="2" width="13.6640625" bestFit="1" customWidth="1"/>
    <col min="3" max="3" width="15" bestFit="1" customWidth="1"/>
    <col min="4" max="4" width="15.33203125" bestFit="1" customWidth="1"/>
    <col min="5" max="5" width="15" bestFit="1" customWidth="1"/>
    <col min="6" max="6" width="14.33203125" bestFit="1" customWidth="1"/>
    <col min="7" max="7" width="15" bestFit="1" customWidth="1"/>
    <col min="8" max="8" width="15.33203125" bestFit="1" customWidth="1"/>
    <col min="9" max="9" width="15" bestFit="1" customWidth="1"/>
    <col min="10" max="10" width="14.33203125" bestFit="1" customWidth="1"/>
    <col min="11" max="11" width="15" bestFit="1" customWidth="1"/>
    <col min="12" max="12" width="15.33203125" bestFit="1" customWidth="1"/>
    <col min="13" max="13" width="15" bestFit="1" customWidth="1"/>
    <col min="14" max="14" width="14.33203125" bestFit="1" customWidth="1"/>
    <col min="15" max="15" width="15" bestFit="1" customWidth="1"/>
    <col min="16" max="16" width="15.33203125" bestFit="1" customWidth="1"/>
    <col min="17" max="17" width="15" bestFit="1" customWidth="1"/>
    <col min="18" max="18" width="14.33203125" bestFit="1" customWidth="1"/>
    <col min="19" max="19" width="15" bestFit="1" customWidth="1"/>
    <col min="20" max="20" width="15.33203125" bestFit="1" customWidth="1"/>
    <col min="21" max="21" width="15" bestFit="1" customWidth="1"/>
    <col min="22" max="22" width="14.33203125" bestFit="1" customWidth="1"/>
    <col min="23" max="23" width="10" bestFit="1" customWidth="1"/>
  </cols>
  <sheetData>
    <row r="5" spans="1:22" x14ac:dyDescent="0.2">
      <c r="A5" s="1" t="s">
        <v>100</v>
      </c>
      <c r="B5" s="1" t="s">
        <v>432</v>
      </c>
      <c r="C5" s="1" t="s">
        <v>101</v>
      </c>
      <c r="D5" s="1" t="s">
        <v>102</v>
      </c>
      <c r="E5" s="1" t="s">
        <v>180</v>
      </c>
      <c r="F5" s="1" t="s">
        <v>181</v>
      </c>
      <c r="G5" s="1" t="s">
        <v>103</v>
      </c>
      <c r="H5" s="1" t="s">
        <v>182</v>
      </c>
      <c r="I5" s="1" t="s">
        <v>183</v>
      </c>
      <c r="J5" s="1" t="s">
        <v>184</v>
      </c>
      <c r="K5" s="1" t="s">
        <v>104</v>
      </c>
      <c r="L5" s="1" t="s">
        <v>185</v>
      </c>
      <c r="M5" s="1" t="s">
        <v>186</v>
      </c>
      <c r="N5" s="1" t="s">
        <v>187</v>
      </c>
      <c r="O5" s="1" t="s">
        <v>105</v>
      </c>
      <c r="P5" s="1" t="s">
        <v>188</v>
      </c>
      <c r="Q5" s="1" t="s">
        <v>189</v>
      </c>
      <c r="R5" s="1" t="s">
        <v>190</v>
      </c>
      <c r="S5" s="1" t="s">
        <v>503</v>
      </c>
      <c r="T5" s="1" t="s">
        <v>513</v>
      </c>
      <c r="U5" s="1" t="s">
        <v>514</v>
      </c>
      <c r="V5" s="1" t="s">
        <v>476</v>
      </c>
    </row>
    <row r="6" spans="1:22" x14ac:dyDescent="0.2">
      <c r="A6" s="1" t="s">
        <v>10</v>
      </c>
      <c r="B6" s="1" t="s">
        <v>433</v>
      </c>
      <c r="C6" s="1" t="s">
        <v>413</v>
      </c>
      <c r="D6" s="1" t="s">
        <v>414</v>
      </c>
      <c r="E6" s="1" t="s">
        <v>405</v>
      </c>
      <c r="F6" s="1" t="s">
        <v>406</v>
      </c>
      <c r="G6" s="1" t="s">
        <v>404</v>
      </c>
      <c r="H6" s="1" t="s">
        <v>415</v>
      </c>
      <c r="I6" s="1" t="s">
        <v>408</v>
      </c>
      <c r="J6" s="1" t="s">
        <v>416</v>
      </c>
      <c r="K6" s="1" t="s">
        <v>417</v>
      </c>
      <c r="L6" s="1" t="s">
        <v>418</v>
      </c>
      <c r="M6" s="1" t="s">
        <v>409</v>
      </c>
      <c r="N6" s="1" t="s">
        <v>419</v>
      </c>
      <c r="O6" s="1" t="s">
        <v>420</v>
      </c>
      <c r="P6" s="1" t="s">
        <v>421</v>
      </c>
      <c r="Q6" s="1" t="s">
        <v>410</v>
      </c>
      <c r="R6" s="1" t="s">
        <v>422</v>
      </c>
      <c r="S6" s="1" t="s">
        <v>423</v>
      </c>
      <c r="T6" s="1" t="s">
        <v>424</v>
      </c>
      <c r="U6" s="1" t="s">
        <v>411</v>
      </c>
      <c r="V6" s="1" t="s">
        <v>476</v>
      </c>
    </row>
    <row r="7" spans="1:22" ht="17" x14ac:dyDescent="0.2">
      <c r="A7" s="12" t="s">
        <v>32</v>
      </c>
      <c r="B7" s="3">
        <v>459.28</v>
      </c>
      <c r="C7" s="3">
        <v>463.46</v>
      </c>
      <c r="D7" s="3">
        <v>467.24</v>
      </c>
      <c r="E7" s="3">
        <v>480.63</v>
      </c>
      <c r="F7" s="3">
        <v>489.59</v>
      </c>
      <c r="G7" s="3">
        <v>496.26</v>
      </c>
      <c r="H7" s="3">
        <v>504.33</v>
      </c>
      <c r="I7" s="3">
        <v>500.23</v>
      </c>
      <c r="J7" s="3">
        <v>501.9</v>
      </c>
      <c r="K7" s="3">
        <v>499.26</v>
      </c>
      <c r="L7" s="3">
        <v>501.23</v>
      </c>
      <c r="M7" s="3">
        <v>503.86</v>
      </c>
      <c r="N7" s="3">
        <v>507.14</v>
      </c>
      <c r="O7" s="3">
        <v>510.76</v>
      </c>
      <c r="P7" s="3">
        <v>507.57</v>
      </c>
      <c r="Q7" s="3">
        <v>506.98</v>
      </c>
      <c r="R7" s="3">
        <v>492.21</v>
      </c>
      <c r="S7" s="3">
        <v>480.74</v>
      </c>
      <c r="T7" s="3">
        <v>482.95</v>
      </c>
      <c r="U7" s="3">
        <v>475.23</v>
      </c>
      <c r="V7" s="3" t="s">
        <v>65</v>
      </c>
    </row>
    <row r="8" spans="1:22" x14ac:dyDescent="0.2">
      <c r="A8" s="3" t="s">
        <v>191</v>
      </c>
      <c r="B8" s="5">
        <v>-6.1899999999999997E-2</v>
      </c>
      <c r="C8" s="5">
        <v>-6.6100000000000006E-2</v>
      </c>
      <c r="D8" s="5">
        <v>-7.3499999999999996E-2</v>
      </c>
      <c r="E8" s="5">
        <v>-3.9199999999999999E-2</v>
      </c>
      <c r="F8" s="5">
        <v>-2.4500000000000001E-2</v>
      </c>
      <c r="G8" s="5">
        <v>-6.0000000000000001E-3</v>
      </c>
      <c r="H8" s="5">
        <v>6.1999999999999998E-3</v>
      </c>
      <c r="I8" s="5">
        <v>-7.1999999999999998E-3</v>
      </c>
      <c r="J8" s="5">
        <v>-1.03E-2</v>
      </c>
      <c r="K8" s="5">
        <v>-2.2499999999999999E-2</v>
      </c>
      <c r="L8" s="5">
        <v>-1.2500000000000001E-2</v>
      </c>
      <c r="M8" s="5">
        <v>-6.1999999999999998E-3</v>
      </c>
      <c r="N8" s="5">
        <v>3.0300000000000001E-2</v>
      </c>
      <c r="O8" s="5">
        <v>6.25E-2</v>
      </c>
      <c r="P8" s="5">
        <v>5.0999999999999997E-2</v>
      </c>
      <c r="Q8" s="5">
        <v>6.6799999999999998E-2</v>
      </c>
      <c r="R8" s="5">
        <v>2.0400000000000001E-2</v>
      </c>
      <c r="S8" s="5">
        <v>-1.15E-2</v>
      </c>
      <c r="T8" s="5">
        <v>-3.5999999999999999E-3</v>
      </c>
      <c r="U8" s="5">
        <v>-2.4500000000000001E-2</v>
      </c>
      <c r="V8" s="3" t="s">
        <v>65</v>
      </c>
    </row>
    <row r="9" spans="1:22" x14ac:dyDescent="0.2">
      <c r="A9" s="3" t="s">
        <v>106</v>
      </c>
      <c r="B9" s="3">
        <v>133.41999999999999</v>
      </c>
      <c r="C9" s="3">
        <v>129.47</v>
      </c>
      <c r="D9" s="3">
        <v>123.52</v>
      </c>
      <c r="E9" s="3">
        <v>115.83</v>
      </c>
      <c r="F9" s="3">
        <v>112.02</v>
      </c>
      <c r="G9" s="3">
        <v>109.94</v>
      </c>
      <c r="H9" s="3">
        <v>108.45</v>
      </c>
      <c r="I9" s="3">
        <v>107.17</v>
      </c>
      <c r="J9" s="3">
        <v>105.25</v>
      </c>
      <c r="K9" s="3">
        <v>102.99</v>
      </c>
      <c r="L9" s="3">
        <v>100.27</v>
      </c>
      <c r="M9" s="3">
        <v>97.2</v>
      </c>
      <c r="N9" s="3">
        <v>95.04</v>
      </c>
      <c r="O9" s="3">
        <v>91.91</v>
      </c>
      <c r="P9" s="3">
        <v>88.69</v>
      </c>
      <c r="Q9" s="3">
        <v>88.11</v>
      </c>
      <c r="R9" s="3">
        <v>89.06</v>
      </c>
      <c r="S9" s="3">
        <v>91.06</v>
      </c>
      <c r="T9" s="3">
        <v>94.91</v>
      </c>
      <c r="U9" s="3">
        <v>96.99</v>
      </c>
      <c r="V9" s="3" t="s">
        <v>65</v>
      </c>
    </row>
    <row r="10" spans="1:22" x14ac:dyDescent="0.2">
      <c r="A10" s="3" t="s">
        <v>1</v>
      </c>
      <c r="B10" s="3">
        <v>325.85000000000002</v>
      </c>
      <c r="C10" s="3">
        <v>333.99</v>
      </c>
      <c r="D10" s="3">
        <v>343.72</v>
      </c>
      <c r="E10" s="3">
        <v>364.8</v>
      </c>
      <c r="F10" s="3">
        <v>377.57</v>
      </c>
      <c r="G10" s="3">
        <v>386.32</v>
      </c>
      <c r="H10" s="3">
        <v>395.89</v>
      </c>
      <c r="I10" s="3">
        <v>393.06</v>
      </c>
      <c r="J10" s="3">
        <v>396.65</v>
      </c>
      <c r="K10" s="3">
        <v>396.28</v>
      </c>
      <c r="L10" s="3">
        <v>400.96</v>
      </c>
      <c r="M10" s="3">
        <v>406.66</v>
      </c>
      <c r="N10" s="3">
        <v>412.1</v>
      </c>
      <c r="O10" s="3">
        <v>418.85</v>
      </c>
      <c r="P10" s="3">
        <v>418.88</v>
      </c>
      <c r="Q10" s="3">
        <v>418.87</v>
      </c>
      <c r="R10" s="3">
        <v>403.15</v>
      </c>
      <c r="S10" s="3">
        <v>389.68</v>
      </c>
      <c r="T10" s="3">
        <v>388.04</v>
      </c>
      <c r="U10" s="3">
        <v>378.25</v>
      </c>
      <c r="V10" s="3" t="s">
        <v>65</v>
      </c>
    </row>
    <row r="11" spans="1:22" x14ac:dyDescent="0.2">
      <c r="A11" s="3" t="s">
        <v>107</v>
      </c>
      <c r="B11" s="3">
        <v>278.58</v>
      </c>
      <c r="C11" s="3">
        <v>278.62</v>
      </c>
      <c r="D11" s="3">
        <v>275.87</v>
      </c>
      <c r="E11" s="3">
        <v>274.18</v>
      </c>
      <c r="F11" s="3">
        <v>269.08999999999997</v>
      </c>
      <c r="G11" s="3">
        <v>264.98</v>
      </c>
      <c r="H11" s="3">
        <v>265.63</v>
      </c>
      <c r="I11" s="3">
        <v>262.3</v>
      </c>
      <c r="J11" s="3">
        <v>262.37</v>
      </c>
      <c r="K11" s="3">
        <v>258.3</v>
      </c>
      <c r="L11" s="3">
        <v>258.52</v>
      </c>
      <c r="M11" s="3">
        <v>257.79000000000002</v>
      </c>
      <c r="N11" s="3">
        <v>255.66</v>
      </c>
      <c r="O11" s="3">
        <v>255.64</v>
      </c>
      <c r="P11" s="3">
        <v>243.86</v>
      </c>
      <c r="Q11" s="3">
        <v>236.96</v>
      </c>
      <c r="R11" s="3">
        <v>228.12</v>
      </c>
      <c r="S11" s="3">
        <v>229.05</v>
      </c>
      <c r="T11" s="3">
        <v>243.59</v>
      </c>
      <c r="U11" s="3">
        <v>252.37</v>
      </c>
      <c r="V11" s="3" t="s">
        <v>65</v>
      </c>
    </row>
    <row r="12" spans="1:22" x14ac:dyDescent="0.2">
      <c r="A12" s="3" t="s">
        <v>219</v>
      </c>
      <c r="B12" s="3">
        <v>113.73</v>
      </c>
      <c r="C12" s="3">
        <v>118.49</v>
      </c>
      <c r="D12" s="3">
        <v>122.95</v>
      </c>
      <c r="E12" s="3">
        <v>119.31</v>
      </c>
      <c r="F12" s="3">
        <v>118.36</v>
      </c>
      <c r="G12" s="3">
        <v>120.53</v>
      </c>
      <c r="H12" s="3">
        <v>121.99</v>
      </c>
      <c r="I12" s="3">
        <v>122.83</v>
      </c>
      <c r="J12" s="3">
        <v>125.26</v>
      </c>
      <c r="K12" s="3">
        <v>127.43</v>
      </c>
      <c r="L12" s="3">
        <v>126.69</v>
      </c>
      <c r="M12" s="3">
        <v>124.4</v>
      </c>
      <c r="N12" s="3">
        <v>121.16</v>
      </c>
      <c r="O12" s="3">
        <v>117.12</v>
      </c>
      <c r="P12" s="3">
        <v>111.2</v>
      </c>
      <c r="Q12" s="3">
        <v>109.62</v>
      </c>
      <c r="R12" s="3">
        <v>106.94</v>
      </c>
      <c r="S12" s="3">
        <v>103.56</v>
      </c>
      <c r="T12" s="3">
        <v>104.59</v>
      </c>
      <c r="U12" s="3">
        <v>105.41</v>
      </c>
      <c r="V12" s="3" t="s">
        <v>65</v>
      </c>
    </row>
    <row r="13" spans="1:22" x14ac:dyDescent="0.2">
      <c r="A13" s="3" t="s">
        <v>221</v>
      </c>
      <c r="B13" s="4">
        <v>7504</v>
      </c>
      <c r="C13" s="4">
        <v>1790</v>
      </c>
      <c r="D13" s="3">
        <v>823.05</v>
      </c>
      <c r="E13" s="3">
        <v>444.52</v>
      </c>
      <c r="F13" s="3">
        <v>288.57</v>
      </c>
      <c r="G13" s="3">
        <v>115.85</v>
      </c>
      <c r="H13" s="3">
        <v>274.24</v>
      </c>
      <c r="I13" s="3">
        <v>241.41</v>
      </c>
      <c r="J13" s="4">
        <v>1135</v>
      </c>
      <c r="K13" s="4">
        <v>1286</v>
      </c>
      <c r="L13" s="4">
        <v>1235</v>
      </c>
      <c r="M13" s="4">
        <v>1300</v>
      </c>
      <c r="N13" s="3">
        <v>806.62</v>
      </c>
      <c r="O13" s="3">
        <v>830.62</v>
      </c>
      <c r="P13" s="3">
        <v>710.49</v>
      </c>
      <c r="Q13" s="3">
        <v>689.57</v>
      </c>
      <c r="R13" s="3">
        <v>264.79000000000002</v>
      </c>
      <c r="S13" s="3">
        <v>70.7</v>
      </c>
      <c r="T13" s="3">
        <v>44.24</v>
      </c>
      <c r="U13" s="3" t="s">
        <v>12</v>
      </c>
      <c r="V13" s="3" t="s">
        <v>65</v>
      </c>
    </row>
    <row r="14" spans="1:22" x14ac:dyDescent="0.2">
      <c r="A14" s="3" t="s">
        <v>108</v>
      </c>
      <c r="B14" s="4">
        <v>7897</v>
      </c>
      <c r="C14" s="4">
        <v>2187</v>
      </c>
      <c r="D14" s="4">
        <v>1222</v>
      </c>
      <c r="E14" s="3">
        <v>838.01</v>
      </c>
      <c r="F14" s="3">
        <v>676.02</v>
      </c>
      <c r="G14" s="3">
        <v>501.36</v>
      </c>
      <c r="H14" s="3">
        <v>661.86</v>
      </c>
      <c r="I14" s="3">
        <v>626.53</v>
      </c>
      <c r="J14" s="4">
        <v>1523</v>
      </c>
      <c r="K14" s="4">
        <v>1672</v>
      </c>
      <c r="L14" s="4">
        <v>1620</v>
      </c>
      <c r="M14" s="4">
        <v>1682</v>
      </c>
      <c r="N14" s="4">
        <v>1183</v>
      </c>
      <c r="O14" s="4">
        <v>1203</v>
      </c>
      <c r="P14" s="4">
        <v>1066</v>
      </c>
      <c r="Q14" s="4">
        <v>1036</v>
      </c>
      <c r="R14" s="3">
        <v>599.86</v>
      </c>
      <c r="S14" s="3">
        <v>403.31</v>
      </c>
      <c r="T14" s="3">
        <v>392.43</v>
      </c>
      <c r="U14" s="3">
        <v>357.78</v>
      </c>
      <c r="V14" s="3" t="s">
        <v>65</v>
      </c>
    </row>
    <row r="15" spans="1:22" x14ac:dyDescent="0.2">
      <c r="A15" s="3" t="s">
        <v>109</v>
      </c>
      <c r="B15" s="4">
        <v>-7571</v>
      </c>
      <c r="C15" s="4">
        <v>-1853</v>
      </c>
      <c r="D15" s="3">
        <v>-878.14</v>
      </c>
      <c r="E15" s="3">
        <v>-473.21</v>
      </c>
      <c r="F15" s="3">
        <v>-298.44</v>
      </c>
      <c r="G15" s="3">
        <v>-115.05</v>
      </c>
      <c r="H15" s="3">
        <v>-265.98</v>
      </c>
      <c r="I15" s="3">
        <v>-233.47</v>
      </c>
      <c r="J15" s="4">
        <v>-1126</v>
      </c>
      <c r="K15" s="4">
        <v>-1276</v>
      </c>
      <c r="L15" s="4">
        <v>-1219</v>
      </c>
      <c r="M15" s="4">
        <v>-1275</v>
      </c>
      <c r="N15" s="3">
        <v>-771.34</v>
      </c>
      <c r="O15" s="3">
        <v>-784.53</v>
      </c>
      <c r="P15" s="3">
        <v>-646.66999999999996</v>
      </c>
      <c r="Q15" s="3">
        <v>-617.28</v>
      </c>
      <c r="R15" s="3">
        <v>-196.71</v>
      </c>
      <c r="S15" s="3">
        <v>-13.63</v>
      </c>
      <c r="T15" s="3">
        <v>-4.3899999999999997</v>
      </c>
      <c r="U15" s="3">
        <v>20.47</v>
      </c>
      <c r="V15" s="3" t="s">
        <v>65</v>
      </c>
    </row>
    <row r="16" spans="1:22" x14ac:dyDescent="0.2">
      <c r="A16" s="3" t="s">
        <v>110</v>
      </c>
      <c r="B16" s="3">
        <v>-67.17</v>
      </c>
      <c r="C16" s="3">
        <v>-61.94</v>
      </c>
      <c r="D16" s="3">
        <v>-57.41</v>
      </c>
      <c r="E16" s="3">
        <v>-50.28</v>
      </c>
      <c r="F16" s="3">
        <v>-45.96</v>
      </c>
      <c r="G16" s="3">
        <v>-48.96</v>
      </c>
      <c r="H16" s="3">
        <v>-51.87</v>
      </c>
      <c r="I16" s="3">
        <v>-54.94</v>
      </c>
      <c r="J16" s="3">
        <v>-57.03</v>
      </c>
      <c r="K16" s="3">
        <v>-53.14</v>
      </c>
      <c r="L16" s="3">
        <v>-49.93</v>
      </c>
      <c r="M16" s="3">
        <v>-46.58</v>
      </c>
      <c r="N16" s="3">
        <v>-37.79</v>
      </c>
      <c r="O16" s="3">
        <v>-29.15</v>
      </c>
      <c r="P16" s="3">
        <v>-19.440000000000001</v>
      </c>
      <c r="Q16" s="3">
        <v>-8.51</v>
      </c>
      <c r="R16" s="3">
        <v>-3.54</v>
      </c>
      <c r="S16" s="3" t="s">
        <v>12</v>
      </c>
      <c r="T16" s="3" t="s">
        <v>12</v>
      </c>
      <c r="U16" s="3" t="s">
        <v>12</v>
      </c>
      <c r="V16" s="3" t="s">
        <v>65</v>
      </c>
    </row>
    <row r="17" spans="1:22" x14ac:dyDescent="0.2">
      <c r="A17" s="3" t="s">
        <v>111</v>
      </c>
      <c r="B17" s="3" t="s">
        <v>12</v>
      </c>
      <c r="C17" s="3" t="s">
        <v>12</v>
      </c>
      <c r="D17" s="3" t="s">
        <v>12</v>
      </c>
      <c r="E17" s="3" t="s">
        <v>12</v>
      </c>
      <c r="F17" s="3">
        <v>0.05</v>
      </c>
      <c r="G17" s="3" t="s">
        <v>12</v>
      </c>
      <c r="H17" s="3" t="s">
        <v>12</v>
      </c>
      <c r="I17" s="3" t="s">
        <v>12</v>
      </c>
      <c r="J17" s="3" t="s">
        <v>12</v>
      </c>
      <c r="K17" s="3" t="s">
        <v>12</v>
      </c>
      <c r="L17" s="3" t="s">
        <v>12</v>
      </c>
      <c r="M17" s="3" t="s">
        <v>12</v>
      </c>
      <c r="N17" s="3" t="s">
        <v>12</v>
      </c>
      <c r="O17" s="3" t="s">
        <v>12</v>
      </c>
      <c r="P17" s="3" t="s">
        <v>12</v>
      </c>
      <c r="Q17" s="3" t="s">
        <v>12</v>
      </c>
      <c r="R17" s="3" t="s">
        <v>12</v>
      </c>
      <c r="S17" s="3">
        <v>0.71</v>
      </c>
      <c r="T17" s="3">
        <v>5.0199999999999996</v>
      </c>
      <c r="U17" s="3">
        <v>7.75</v>
      </c>
      <c r="V17" s="3" t="s">
        <v>65</v>
      </c>
    </row>
    <row r="18" spans="1:22" x14ac:dyDescent="0.2">
      <c r="A18" s="3" t="s">
        <v>425</v>
      </c>
      <c r="B18" s="3">
        <v>-2.73</v>
      </c>
      <c r="C18" s="3">
        <v>2.9</v>
      </c>
      <c r="D18" s="3">
        <v>-8.9700000000000006</v>
      </c>
      <c r="E18" s="3">
        <v>-1.52</v>
      </c>
      <c r="F18" s="3">
        <v>-2.46</v>
      </c>
      <c r="G18" s="3">
        <v>-5.6</v>
      </c>
      <c r="H18" s="3">
        <v>-5.32</v>
      </c>
      <c r="I18" s="3">
        <v>-2.84</v>
      </c>
      <c r="J18" s="3">
        <v>2.5299999999999998</v>
      </c>
      <c r="K18" s="3">
        <v>6.2</v>
      </c>
      <c r="L18" s="3">
        <v>13.11</v>
      </c>
      <c r="M18" s="3">
        <v>9.48</v>
      </c>
      <c r="N18" s="3">
        <v>3.46</v>
      </c>
      <c r="O18" s="3">
        <v>2.5</v>
      </c>
      <c r="P18" s="3">
        <v>-1.44</v>
      </c>
      <c r="Q18" s="3">
        <v>-5.67</v>
      </c>
      <c r="R18" s="3">
        <v>-6.77</v>
      </c>
      <c r="S18" s="3">
        <v>-7.6</v>
      </c>
      <c r="T18" s="3">
        <v>-6.45</v>
      </c>
      <c r="U18" s="3">
        <v>-2.56</v>
      </c>
      <c r="V18" s="3" t="s">
        <v>65</v>
      </c>
    </row>
    <row r="19" spans="1:22" x14ac:dyDescent="0.2">
      <c r="A19" s="3" t="s">
        <v>371</v>
      </c>
      <c r="B19" s="3">
        <v>0.61</v>
      </c>
      <c r="C19" s="3">
        <v>0.61</v>
      </c>
      <c r="D19" s="3">
        <v>0.4</v>
      </c>
      <c r="E19" s="3">
        <v>0.4</v>
      </c>
      <c r="F19" s="3">
        <v>0.4</v>
      </c>
      <c r="G19" s="3">
        <v>0.4</v>
      </c>
      <c r="H19" s="3">
        <v>0.21</v>
      </c>
      <c r="I19" s="3">
        <v>0.21</v>
      </c>
      <c r="J19" s="3">
        <v>0.21</v>
      </c>
      <c r="K19" s="3">
        <v>0.21</v>
      </c>
      <c r="L19" s="3">
        <v>-0.21</v>
      </c>
      <c r="M19" s="3">
        <v>-0.21</v>
      </c>
      <c r="N19" s="3">
        <v>-0.21</v>
      </c>
      <c r="O19" s="3">
        <v>-0.21</v>
      </c>
      <c r="P19" s="3">
        <v>0.56000000000000005</v>
      </c>
      <c r="Q19" s="3">
        <v>0.56000000000000005</v>
      </c>
      <c r="R19" s="3">
        <v>0.56000000000000005</v>
      </c>
      <c r="S19" s="3">
        <v>0.56000000000000005</v>
      </c>
      <c r="T19" s="3">
        <v>-0.44</v>
      </c>
      <c r="U19" s="3">
        <v>0.52</v>
      </c>
      <c r="V19" s="3" t="s">
        <v>65</v>
      </c>
    </row>
    <row r="20" spans="1:22" x14ac:dyDescent="0.2">
      <c r="A20" s="3" t="s">
        <v>192</v>
      </c>
      <c r="B20" s="4">
        <v>-7640</v>
      </c>
      <c r="C20" s="4">
        <v>-1911</v>
      </c>
      <c r="D20" s="3">
        <v>-944.12</v>
      </c>
      <c r="E20" s="3">
        <v>-524.61</v>
      </c>
      <c r="F20" s="3">
        <v>-346.42</v>
      </c>
      <c r="G20" s="3">
        <v>-169.21</v>
      </c>
      <c r="H20" s="3">
        <v>-322.95</v>
      </c>
      <c r="I20" s="3">
        <v>-291.02999999999997</v>
      </c>
      <c r="J20" s="4">
        <v>-1180</v>
      </c>
      <c r="K20" s="4">
        <v>-1322</v>
      </c>
      <c r="L20" s="4">
        <v>-1257</v>
      </c>
      <c r="M20" s="4">
        <v>-1313</v>
      </c>
      <c r="N20" s="3">
        <v>-805.88</v>
      </c>
      <c r="O20" s="3">
        <v>-811.39</v>
      </c>
      <c r="P20" s="3">
        <v>-666.98</v>
      </c>
      <c r="Q20" s="3">
        <v>-630.9</v>
      </c>
      <c r="R20" s="3">
        <v>-206.45</v>
      </c>
      <c r="S20" s="3">
        <v>-19.95</v>
      </c>
      <c r="T20" s="3">
        <v>-6.26</v>
      </c>
      <c r="U20" s="3">
        <v>26.18</v>
      </c>
      <c r="V20" s="3" t="s">
        <v>65</v>
      </c>
    </row>
    <row r="21" spans="1:22" x14ac:dyDescent="0.2">
      <c r="A21" s="3" t="s">
        <v>532</v>
      </c>
      <c r="B21" s="3" t="s">
        <v>12</v>
      </c>
      <c r="C21" s="3" t="s">
        <v>12</v>
      </c>
      <c r="D21" s="3">
        <v>-1.2</v>
      </c>
      <c r="E21" s="3">
        <v>1.2</v>
      </c>
      <c r="F21" s="3" t="s">
        <v>12</v>
      </c>
      <c r="G21" s="3" t="s">
        <v>12</v>
      </c>
      <c r="H21" s="3" t="s">
        <v>12</v>
      </c>
      <c r="I21" s="3">
        <v>-1.2</v>
      </c>
      <c r="J21" s="3" t="s">
        <v>12</v>
      </c>
      <c r="K21" s="3" t="s">
        <v>12</v>
      </c>
      <c r="L21" s="3" t="s">
        <v>12</v>
      </c>
      <c r="M21" s="3" t="s">
        <v>12</v>
      </c>
      <c r="N21" s="3" t="s">
        <v>12</v>
      </c>
      <c r="O21" s="3" t="s">
        <v>12</v>
      </c>
      <c r="P21" s="3" t="s">
        <v>12</v>
      </c>
      <c r="Q21" s="3" t="s">
        <v>12</v>
      </c>
      <c r="R21" s="3" t="s">
        <v>12</v>
      </c>
      <c r="S21" s="3" t="s">
        <v>12</v>
      </c>
      <c r="T21" s="3" t="s">
        <v>12</v>
      </c>
      <c r="U21" s="3" t="s">
        <v>12</v>
      </c>
      <c r="V21" s="3" t="s">
        <v>65</v>
      </c>
    </row>
    <row r="22" spans="1:22" x14ac:dyDescent="0.2">
      <c r="A22" s="3" t="s">
        <v>478</v>
      </c>
      <c r="B22" s="3">
        <v>-22.93</v>
      </c>
      <c r="C22" s="3">
        <v>-22.93</v>
      </c>
      <c r="D22" s="3">
        <v>-22.93</v>
      </c>
      <c r="E22" s="3" t="s">
        <v>12</v>
      </c>
      <c r="F22" s="3" t="s">
        <v>12</v>
      </c>
      <c r="G22" s="3">
        <v>44.69</v>
      </c>
      <c r="H22" s="3">
        <v>44.69</v>
      </c>
      <c r="I22" s="3">
        <v>44.69</v>
      </c>
      <c r="J22" s="3">
        <v>44.69</v>
      </c>
      <c r="K22" s="3" t="s">
        <v>12</v>
      </c>
      <c r="L22" s="3" t="s">
        <v>12</v>
      </c>
      <c r="M22" s="3" t="s">
        <v>12</v>
      </c>
      <c r="N22" s="3" t="s">
        <v>12</v>
      </c>
      <c r="O22" s="3" t="s">
        <v>12</v>
      </c>
      <c r="P22" s="3" t="s">
        <v>12</v>
      </c>
      <c r="Q22" s="3" t="s">
        <v>12</v>
      </c>
      <c r="R22" s="3" t="s">
        <v>12</v>
      </c>
      <c r="S22" s="3" t="s">
        <v>12</v>
      </c>
      <c r="T22" s="3" t="s">
        <v>12</v>
      </c>
      <c r="U22" s="3" t="s">
        <v>12</v>
      </c>
      <c r="V22" s="3" t="s">
        <v>65</v>
      </c>
    </row>
    <row r="23" spans="1:22" x14ac:dyDescent="0.2">
      <c r="A23" s="3" t="s">
        <v>112</v>
      </c>
      <c r="B23" s="4">
        <v>-7663</v>
      </c>
      <c r="C23" s="4">
        <v>-1934</v>
      </c>
      <c r="D23" s="3">
        <v>-968.26</v>
      </c>
      <c r="E23" s="3">
        <v>-523.41</v>
      </c>
      <c r="F23" s="3">
        <v>-346.42</v>
      </c>
      <c r="G23" s="3">
        <v>-124.53</v>
      </c>
      <c r="H23" s="3">
        <v>-278.26</v>
      </c>
      <c r="I23" s="3">
        <v>-247.55</v>
      </c>
      <c r="J23" s="4">
        <v>-1136</v>
      </c>
      <c r="K23" s="4">
        <v>-1322</v>
      </c>
      <c r="L23" s="4">
        <v>-1257</v>
      </c>
      <c r="M23" s="4">
        <v>-1313</v>
      </c>
      <c r="N23" s="3">
        <v>-805.88</v>
      </c>
      <c r="O23" s="3">
        <v>-811.39</v>
      </c>
      <c r="P23" s="3">
        <v>-666.98</v>
      </c>
      <c r="Q23" s="3">
        <v>-630.9</v>
      </c>
      <c r="R23" s="3">
        <v>-206.45</v>
      </c>
      <c r="S23" s="3">
        <v>-19.95</v>
      </c>
      <c r="T23" s="3">
        <v>-6.26</v>
      </c>
      <c r="U23" s="3">
        <v>26.18</v>
      </c>
      <c r="V23" s="3" t="s">
        <v>65</v>
      </c>
    </row>
    <row r="24" spans="1:22" x14ac:dyDescent="0.2">
      <c r="A24" s="3" t="s">
        <v>113</v>
      </c>
      <c r="B24" s="4">
        <v>-2332</v>
      </c>
      <c r="C24" s="3">
        <v>-767.69</v>
      </c>
      <c r="D24" s="3">
        <v>-561.53</v>
      </c>
      <c r="E24" s="3">
        <v>-313.42</v>
      </c>
      <c r="F24" s="3">
        <v>-261.23</v>
      </c>
      <c r="G24" s="3">
        <v>-553.65</v>
      </c>
      <c r="H24" s="3">
        <v>-368.59</v>
      </c>
      <c r="I24" s="3">
        <v>-454.24</v>
      </c>
      <c r="J24" s="3">
        <v>-257.83</v>
      </c>
      <c r="K24" s="3">
        <v>147.33000000000001</v>
      </c>
      <c r="L24" s="3">
        <v>53.58</v>
      </c>
      <c r="M24" s="3">
        <v>6.64</v>
      </c>
      <c r="N24" s="3">
        <v>-249.67</v>
      </c>
      <c r="O24" s="3">
        <v>-275.91000000000003</v>
      </c>
      <c r="P24" s="3">
        <v>-224.14</v>
      </c>
      <c r="Q24" s="3">
        <v>-209.96</v>
      </c>
      <c r="R24" s="3">
        <v>-88.25</v>
      </c>
      <c r="S24" s="3">
        <v>-12.43</v>
      </c>
      <c r="T24" s="3">
        <v>-8.25</v>
      </c>
      <c r="U24" s="3">
        <v>0.27</v>
      </c>
      <c r="V24" s="3" t="s">
        <v>65</v>
      </c>
    </row>
    <row r="25" spans="1:22" x14ac:dyDescent="0.2">
      <c r="A25" s="3" t="s">
        <v>17</v>
      </c>
      <c r="B25" s="4">
        <v>-5331</v>
      </c>
      <c r="C25" s="4">
        <v>-1167</v>
      </c>
      <c r="D25" s="3">
        <v>-406.73</v>
      </c>
      <c r="E25" s="3">
        <v>-209.99</v>
      </c>
      <c r="F25" s="3">
        <v>-85.19</v>
      </c>
      <c r="G25" s="3">
        <v>429.12</v>
      </c>
      <c r="H25" s="3">
        <v>90.33</v>
      </c>
      <c r="I25" s="3">
        <v>206.69</v>
      </c>
      <c r="J25" s="3">
        <v>-877.85</v>
      </c>
      <c r="K25" s="4">
        <v>-1470</v>
      </c>
      <c r="L25" s="4">
        <v>-1310</v>
      </c>
      <c r="M25" s="4">
        <v>-1319</v>
      </c>
      <c r="N25" s="3">
        <v>-556.21</v>
      </c>
      <c r="O25" s="3">
        <v>-535.48</v>
      </c>
      <c r="P25" s="3">
        <v>-442.84</v>
      </c>
      <c r="Q25" s="3">
        <v>-420.94</v>
      </c>
      <c r="R25" s="3">
        <v>-118.2</v>
      </c>
      <c r="S25" s="3">
        <v>-7.52</v>
      </c>
      <c r="T25" s="3">
        <v>1.98</v>
      </c>
      <c r="U25" s="3">
        <v>25.91</v>
      </c>
      <c r="V25" s="3" t="s">
        <v>65</v>
      </c>
    </row>
    <row r="26" spans="1:22" x14ac:dyDescent="0.2">
      <c r="A26" s="3" t="s">
        <v>509</v>
      </c>
      <c r="B26" s="3">
        <v>10.65</v>
      </c>
      <c r="C26" s="3" t="s">
        <v>12</v>
      </c>
      <c r="D26" s="3" t="s">
        <v>12</v>
      </c>
      <c r="E26" s="3" t="s">
        <v>12</v>
      </c>
      <c r="F26" s="3" t="s">
        <v>12</v>
      </c>
      <c r="G26" s="3" t="s">
        <v>12</v>
      </c>
      <c r="H26" s="3" t="s">
        <v>12</v>
      </c>
      <c r="I26" s="3" t="s">
        <v>12</v>
      </c>
      <c r="J26" s="3" t="s">
        <v>12</v>
      </c>
      <c r="K26" s="3" t="s">
        <v>12</v>
      </c>
      <c r="L26" s="3" t="s">
        <v>12</v>
      </c>
      <c r="M26" s="3" t="s">
        <v>12</v>
      </c>
      <c r="N26" s="3" t="s">
        <v>12</v>
      </c>
      <c r="O26" s="3" t="s">
        <v>12</v>
      </c>
      <c r="P26" s="3" t="s">
        <v>12</v>
      </c>
      <c r="Q26" s="3" t="s">
        <v>12</v>
      </c>
      <c r="R26" s="3" t="s">
        <v>12</v>
      </c>
      <c r="S26" s="3" t="s">
        <v>12</v>
      </c>
      <c r="T26" s="3" t="s">
        <v>12</v>
      </c>
      <c r="U26" s="3" t="s">
        <v>12</v>
      </c>
      <c r="V26" s="3" t="s">
        <v>65</v>
      </c>
    </row>
    <row r="27" spans="1:22" x14ac:dyDescent="0.2">
      <c r="A27" s="3" t="s">
        <v>114</v>
      </c>
      <c r="B27" s="4">
        <v>-5342</v>
      </c>
      <c r="C27" s="4">
        <v>-1167</v>
      </c>
      <c r="D27" s="3">
        <v>-406.73</v>
      </c>
      <c r="E27" s="3">
        <v>-209.99</v>
      </c>
      <c r="F27" s="3">
        <v>-85.19</v>
      </c>
      <c r="G27" s="3">
        <v>429.12</v>
      </c>
      <c r="H27" s="3">
        <v>90.33</v>
      </c>
      <c r="I27" s="3">
        <v>206.69</v>
      </c>
      <c r="J27" s="3">
        <v>-877.85</v>
      </c>
      <c r="K27" s="4">
        <v>-1470</v>
      </c>
      <c r="L27" s="4">
        <v>-1310</v>
      </c>
      <c r="M27" s="4">
        <v>-1319</v>
      </c>
      <c r="N27" s="3">
        <v>-556.21</v>
      </c>
      <c r="O27" s="3">
        <v>-535.48</v>
      </c>
      <c r="P27" s="3">
        <v>-442.84</v>
      </c>
      <c r="Q27" s="3">
        <v>-420.94</v>
      </c>
      <c r="R27" s="3">
        <v>-118.2</v>
      </c>
      <c r="S27" s="3">
        <v>-7.52</v>
      </c>
      <c r="T27" s="3">
        <v>1.98</v>
      </c>
      <c r="U27" s="3">
        <v>25.91</v>
      </c>
      <c r="V27" s="3" t="s">
        <v>65</v>
      </c>
    </row>
    <row r="28" spans="1:22" x14ac:dyDescent="0.2">
      <c r="A28" s="3" t="s">
        <v>486</v>
      </c>
      <c r="B28" s="3" t="s">
        <v>12</v>
      </c>
      <c r="C28" s="3" t="s">
        <v>12</v>
      </c>
      <c r="D28" s="3" t="s">
        <v>12</v>
      </c>
      <c r="E28" s="3" t="s">
        <v>12</v>
      </c>
      <c r="F28" s="3" t="s">
        <v>12</v>
      </c>
      <c r="G28" s="3" t="s">
        <v>12</v>
      </c>
      <c r="H28" s="3" t="s">
        <v>12</v>
      </c>
      <c r="I28" s="3" t="s">
        <v>12</v>
      </c>
      <c r="J28" s="3" t="s">
        <v>12</v>
      </c>
      <c r="K28" s="3" t="s">
        <v>12</v>
      </c>
      <c r="L28" s="3" t="s">
        <v>12</v>
      </c>
      <c r="M28" s="3" t="s">
        <v>12</v>
      </c>
      <c r="N28" s="3" t="s">
        <v>12</v>
      </c>
      <c r="O28" s="3" t="s">
        <v>12</v>
      </c>
      <c r="P28" s="3" t="s">
        <v>12</v>
      </c>
      <c r="Q28" s="3" t="s">
        <v>12</v>
      </c>
      <c r="R28" s="3" t="s">
        <v>12</v>
      </c>
      <c r="S28" s="3" t="s">
        <v>12</v>
      </c>
      <c r="T28" s="5">
        <v>-0.92220000000000002</v>
      </c>
      <c r="U28" s="5">
        <v>-9.0499999999999997E-2</v>
      </c>
      <c r="V28" s="3" t="s">
        <v>65</v>
      </c>
    </row>
    <row r="29" spans="1:22" x14ac:dyDescent="0.2">
      <c r="A29" s="3" t="s">
        <v>115</v>
      </c>
      <c r="B29" s="3">
        <v>214</v>
      </c>
      <c r="C29" s="3">
        <v>193</v>
      </c>
      <c r="D29" s="3">
        <v>186</v>
      </c>
      <c r="E29" s="3">
        <v>166</v>
      </c>
      <c r="F29" s="3">
        <v>150</v>
      </c>
      <c r="G29" s="3">
        <v>137</v>
      </c>
      <c r="H29" s="3">
        <v>116</v>
      </c>
      <c r="I29" s="3">
        <v>115</v>
      </c>
      <c r="J29" s="3">
        <v>115</v>
      </c>
      <c r="K29" s="3">
        <v>113</v>
      </c>
      <c r="L29" s="3">
        <v>111</v>
      </c>
      <c r="M29" s="3">
        <v>108</v>
      </c>
      <c r="N29" s="3">
        <v>104</v>
      </c>
      <c r="O29" s="3">
        <v>100</v>
      </c>
      <c r="P29" s="3">
        <v>97</v>
      </c>
      <c r="Q29" s="3">
        <v>96</v>
      </c>
      <c r="R29" s="3">
        <v>96</v>
      </c>
      <c r="S29" s="3">
        <v>97</v>
      </c>
      <c r="T29" s="3">
        <v>99</v>
      </c>
      <c r="U29" s="3">
        <v>100</v>
      </c>
      <c r="V29" s="3" t="s">
        <v>65</v>
      </c>
    </row>
    <row r="30" spans="1:22" x14ac:dyDescent="0.2">
      <c r="A30" s="3" t="s">
        <v>116</v>
      </c>
      <c r="B30" s="3">
        <v>214</v>
      </c>
      <c r="C30" s="3">
        <v>193</v>
      </c>
      <c r="D30" s="3">
        <v>186</v>
      </c>
      <c r="E30" s="3">
        <v>166</v>
      </c>
      <c r="F30" s="3">
        <v>150</v>
      </c>
      <c r="G30" s="3">
        <v>166</v>
      </c>
      <c r="H30" s="3">
        <v>137</v>
      </c>
      <c r="I30" s="3">
        <v>129</v>
      </c>
      <c r="J30" s="3">
        <v>115</v>
      </c>
      <c r="K30" s="3">
        <v>113</v>
      </c>
      <c r="L30" s="3">
        <v>111</v>
      </c>
      <c r="M30" s="3">
        <v>108</v>
      </c>
      <c r="N30" s="3">
        <v>104</v>
      </c>
      <c r="O30" s="3">
        <v>100</v>
      </c>
      <c r="P30" s="3">
        <v>97</v>
      </c>
      <c r="Q30" s="3">
        <v>96</v>
      </c>
      <c r="R30" s="3">
        <v>96</v>
      </c>
      <c r="S30" s="3">
        <v>97</v>
      </c>
      <c r="T30" s="3">
        <v>99</v>
      </c>
      <c r="U30" s="3">
        <v>101</v>
      </c>
      <c r="V30" s="3" t="s">
        <v>65</v>
      </c>
    </row>
    <row r="31" spans="1:22" x14ac:dyDescent="0.2">
      <c r="A31" s="3" t="s">
        <v>193</v>
      </c>
      <c r="B31" s="5">
        <v>0.42349999999999999</v>
      </c>
      <c r="C31" s="5">
        <v>0.1623</v>
      </c>
      <c r="D31" s="5">
        <v>0.35639999999999999</v>
      </c>
      <c r="E31" s="5">
        <v>0.28029999999999999</v>
      </c>
      <c r="F31" s="5">
        <v>0.31009999999999999</v>
      </c>
      <c r="G31" s="5">
        <v>0.46329999999999999</v>
      </c>
      <c r="H31" s="5">
        <v>0.23200000000000001</v>
      </c>
      <c r="I31" s="5">
        <v>0.19620000000000001</v>
      </c>
      <c r="J31" s="5">
        <v>9.8400000000000001E-2</v>
      </c>
      <c r="K31" s="5">
        <v>0.1298</v>
      </c>
      <c r="L31" s="5">
        <v>0.14910000000000001</v>
      </c>
      <c r="M31" s="5">
        <v>0.1265</v>
      </c>
      <c r="N31" s="5">
        <v>8.6300000000000002E-2</v>
      </c>
      <c r="O31" s="5">
        <v>3.4700000000000002E-2</v>
      </c>
      <c r="P31" s="5">
        <v>-2.1100000000000001E-2</v>
      </c>
      <c r="Q31" s="5">
        <v>-4.8800000000000003E-2</v>
      </c>
      <c r="R31" s="5">
        <v>-6.3600000000000004E-2</v>
      </c>
      <c r="S31" s="5">
        <v>-6.2399999999999997E-2</v>
      </c>
      <c r="T31" s="5">
        <v>-5.9700000000000003E-2</v>
      </c>
      <c r="U31" s="5">
        <v>-6.8900000000000003E-2</v>
      </c>
      <c r="V31" s="3" t="s">
        <v>65</v>
      </c>
    </row>
    <row r="32" spans="1:22" x14ac:dyDescent="0.2">
      <c r="A32" s="3" t="s">
        <v>33</v>
      </c>
      <c r="B32" s="3">
        <v>-25</v>
      </c>
      <c r="C32" s="3">
        <v>-6.06</v>
      </c>
      <c r="D32" s="3">
        <v>-2.1800000000000002</v>
      </c>
      <c r="E32" s="3">
        <v>-1.27</v>
      </c>
      <c r="F32" s="3">
        <v>-0.56999999999999995</v>
      </c>
      <c r="G32" s="3">
        <v>3.14</v>
      </c>
      <c r="H32" s="3">
        <v>0.78</v>
      </c>
      <c r="I32" s="3">
        <v>1.79</v>
      </c>
      <c r="J32" s="3">
        <v>-7.66</v>
      </c>
      <c r="K32" s="3">
        <v>-12.98</v>
      </c>
      <c r="L32" s="3">
        <v>-11.75</v>
      </c>
      <c r="M32" s="3">
        <v>-12.19</v>
      </c>
      <c r="N32" s="3">
        <v>-5.33</v>
      </c>
      <c r="O32" s="3">
        <v>-5.34</v>
      </c>
      <c r="P32" s="3">
        <v>-4.57</v>
      </c>
      <c r="Q32" s="3">
        <v>-4.38</v>
      </c>
      <c r="R32" s="3">
        <v>-1.23</v>
      </c>
      <c r="S32" s="3">
        <v>-0.08</v>
      </c>
      <c r="T32" s="3">
        <v>0.02</v>
      </c>
      <c r="U32" s="3">
        <v>0.26</v>
      </c>
      <c r="V32" s="3" t="s">
        <v>65</v>
      </c>
    </row>
    <row r="33" spans="1:22" x14ac:dyDescent="0.2">
      <c r="A33" s="3" t="s">
        <v>34</v>
      </c>
      <c r="B33" s="3">
        <v>-25</v>
      </c>
      <c r="C33" s="3">
        <v>-6.06</v>
      </c>
      <c r="D33" s="3">
        <v>-2.1800000000000002</v>
      </c>
      <c r="E33" s="3">
        <v>-1.27</v>
      </c>
      <c r="F33" s="3">
        <v>-0.56999999999999995</v>
      </c>
      <c r="G33" s="3">
        <v>2.64</v>
      </c>
      <c r="H33" s="3">
        <v>0.7</v>
      </c>
      <c r="I33" s="3">
        <v>1.63</v>
      </c>
      <c r="J33" s="3">
        <v>-7.66</v>
      </c>
      <c r="K33" s="3">
        <v>-12.98</v>
      </c>
      <c r="L33" s="3">
        <v>-11.75</v>
      </c>
      <c r="M33" s="3">
        <v>-12.19</v>
      </c>
      <c r="N33" s="3">
        <v>-5.33</v>
      </c>
      <c r="O33" s="3">
        <v>-5.34</v>
      </c>
      <c r="P33" s="3">
        <v>-4.57</v>
      </c>
      <c r="Q33" s="3">
        <v>-4.38</v>
      </c>
      <c r="R33" s="3">
        <v>-1.23</v>
      </c>
      <c r="S33" s="3">
        <v>-0.08</v>
      </c>
      <c r="T33" s="3">
        <v>0.02</v>
      </c>
      <c r="U33" s="3">
        <v>0.26</v>
      </c>
      <c r="V33" s="3" t="s">
        <v>65</v>
      </c>
    </row>
    <row r="34" spans="1:22" x14ac:dyDescent="0.2">
      <c r="A34" s="3" t="s">
        <v>66</v>
      </c>
      <c r="B34" s="3" t="s">
        <v>12</v>
      </c>
      <c r="C34" s="3" t="s">
        <v>12</v>
      </c>
      <c r="D34" s="3" t="s">
        <v>12</v>
      </c>
      <c r="E34" s="3" t="s">
        <v>12</v>
      </c>
      <c r="F34" s="3" t="s">
        <v>12</v>
      </c>
      <c r="G34" s="3" t="s">
        <v>12</v>
      </c>
      <c r="H34" s="3" t="s">
        <v>12</v>
      </c>
      <c r="I34" s="3" t="s">
        <v>12</v>
      </c>
      <c r="J34" s="3" t="s">
        <v>12</v>
      </c>
      <c r="K34" s="3" t="s">
        <v>12</v>
      </c>
      <c r="L34" s="3" t="s">
        <v>12</v>
      </c>
      <c r="M34" s="3" t="s">
        <v>12</v>
      </c>
      <c r="N34" s="3" t="s">
        <v>12</v>
      </c>
      <c r="O34" s="3" t="s">
        <v>12</v>
      </c>
      <c r="P34" s="3" t="s">
        <v>12</v>
      </c>
      <c r="Q34" s="3" t="s">
        <v>12</v>
      </c>
      <c r="R34" s="3" t="s">
        <v>12</v>
      </c>
      <c r="S34" s="3" t="s">
        <v>12</v>
      </c>
      <c r="T34" s="5">
        <v>-0.91720000000000002</v>
      </c>
      <c r="U34" s="5">
        <v>-2.23E-2</v>
      </c>
      <c r="V34" s="3" t="s">
        <v>65</v>
      </c>
    </row>
    <row r="35" spans="1:22" x14ac:dyDescent="0.2">
      <c r="A35" s="3" t="s">
        <v>6</v>
      </c>
      <c r="B35" s="3">
        <v>-104.68</v>
      </c>
      <c r="C35" s="3">
        <v>-66.510000000000005</v>
      </c>
      <c r="D35" s="3">
        <v>-37.57</v>
      </c>
      <c r="E35" s="3">
        <v>-5.0199999999999996</v>
      </c>
      <c r="F35" s="3">
        <v>-0.08</v>
      </c>
      <c r="G35" s="3">
        <v>9.77</v>
      </c>
      <c r="H35" s="3">
        <v>-9.9</v>
      </c>
      <c r="I35" s="3">
        <v>-2.83</v>
      </c>
      <c r="J35" s="3">
        <v>-5.42</v>
      </c>
      <c r="K35" s="3">
        <v>0.73</v>
      </c>
      <c r="L35" s="3">
        <v>21.98</v>
      </c>
      <c r="M35" s="3">
        <v>37.14</v>
      </c>
      <c r="N35" s="3">
        <v>71.91</v>
      </c>
      <c r="O35" s="3">
        <v>91.13</v>
      </c>
      <c r="P35" s="3">
        <v>111.54</v>
      </c>
      <c r="Q35" s="3">
        <v>99.94</v>
      </c>
      <c r="R35" s="3">
        <v>83.82</v>
      </c>
      <c r="S35" s="3">
        <v>49.97</v>
      </c>
      <c r="T35" s="3">
        <v>34.880000000000003</v>
      </c>
      <c r="U35" s="3">
        <v>35.270000000000003</v>
      </c>
      <c r="V35" s="3" t="s">
        <v>65</v>
      </c>
    </row>
    <row r="36" spans="1:22" x14ac:dyDescent="0.2">
      <c r="A36" s="3" t="s">
        <v>18</v>
      </c>
      <c r="B36" s="3">
        <v>-0.49</v>
      </c>
      <c r="C36" s="3">
        <v>-0.34</v>
      </c>
      <c r="D36" s="3">
        <v>-0.2</v>
      </c>
      <c r="E36" s="3">
        <v>-0.03</v>
      </c>
      <c r="F36" s="3">
        <v>0</v>
      </c>
      <c r="G36" s="3">
        <v>0.06</v>
      </c>
      <c r="H36" s="3">
        <v>-7.0000000000000007E-2</v>
      </c>
      <c r="I36" s="3">
        <v>-0.02</v>
      </c>
      <c r="J36" s="3">
        <v>-0.05</v>
      </c>
      <c r="K36" s="3">
        <v>0.01</v>
      </c>
      <c r="L36" s="3">
        <v>0.2</v>
      </c>
      <c r="M36" s="3">
        <v>0.34</v>
      </c>
      <c r="N36" s="3">
        <v>0.69</v>
      </c>
      <c r="O36" s="3">
        <v>0.91</v>
      </c>
      <c r="P36" s="3">
        <v>1.1499999999999999</v>
      </c>
      <c r="Q36" s="3">
        <v>1.04</v>
      </c>
      <c r="R36" s="3">
        <v>0.87</v>
      </c>
      <c r="S36" s="3">
        <v>0.52</v>
      </c>
      <c r="T36" s="3">
        <v>0.35</v>
      </c>
      <c r="U36" s="3">
        <v>0.35</v>
      </c>
      <c r="V36" s="3" t="s">
        <v>65</v>
      </c>
    </row>
    <row r="37" spans="1:22" x14ac:dyDescent="0.2">
      <c r="A37" s="3" t="s">
        <v>36</v>
      </c>
      <c r="B37" s="5">
        <v>0.70950000000000002</v>
      </c>
      <c r="C37" s="5">
        <v>0.72060000000000002</v>
      </c>
      <c r="D37" s="5">
        <v>0.73560000000000003</v>
      </c>
      <c r="E37" s="5">
        <v>0.75900000000000001</v>
      </c>
      <c r="F37" s="5">
        <v>0.7712</v>
      </c>
      <c r="G37" s="5">
        <v>0.77849999999999997</v>
      </c>
      <c r="H37" s="5">
        <v>0.78500000000000003</v>
      </c>
      <c r="I37" s="5">
        <v>0.78580000000000005</v>
      </c>
      <c r="J37" s="5">
        <v>0.7903</v>
      </c>
      <c r="K37" s="5">
        <v>0.79369999999999996</v>
      </c>
      <c r="L37" s="5">
        <v>0.8</v>
      </c>
      <c r="M37" s="5">
        <v>0.80710000000000004</v>
      </c>
      <c r="N37" s="5">
        <v>0.81259999999999999</v>
      </c>
      <c r="O37" s="5">
        <v>0.82010000000000005</v>
      </c>
      <c r="P37" s="5">
        <v>0.82530000000000003</v>
      </c>
      <c r="Q37" s="5">
        <v>0.82620000000000005</v>
      </c>
      <c r="R37" s="5">
        <v>0.81910000000000005</v>
      </c>
      <c r="S37" s="5">
        <v>0.81059999999999999</v>
      </c>
      <c r="T37" s="5">
        <v>0.80349999999999999</v>
      </c>
      <c r="U37" s="5">
        <v>0.79590000000000005</v>
      </c>
      <c r="V37" s="3" t="s">
        <v>65</v>
      </c>
    </row>
    <row r="38" spans="1:22" x14ac:dyDescent="0.2">
      <c r="A38" s="3" t="s">
        <v>37</v>
      </c>
      <c r="B38" s="5">
        <v>-16.484000000000002</v>
      </c>
      <c r="C38" s="5">
        <v>-3.9982000000000002</v>
      </c>
      <c r="D38" s="5">
        <v>-1.8794</v>
      </c>
      <c r="E38" s="5">
        <v>-0.98450000000000004</v>
      </c>
      <c r="F38" s="5">
        <v>-0.60960000000000003</v>
      </c>
      <c r="G38" s="5">
        <v>-0.23180000000000001</v>
      </c>
      <c r="H38" s="5">
        <v>-0.52739999999999998</v>
      </c>
      <c r="I38" s="5">
        <v>-0.4667</v>
      </c>
      <c r="J38" s="5">
        <v>-2.2435999999999998</v>
      </c>
      <c r="K38" s="5">
        <v>-2.5552999999999999</v>
      </c>
      <c r="L38" s="5">
        <v>-2.4329999999999998</v>
      </c>
      <c r="M38" s="5">
        <v>-2.5308999999999999</v>
      </c>
      <c r="N38" s="5">
        <v>-1.5209999999999999</v>
      </c>
      <c r="O38" s="5">
        <v>-1.536</v>
      </c>
      <c r="P38" s="5">
        <v>-1.2741</v>
      </c>
      <c r="Q38" s="5">
        <v>-1.2176</v>
      </c>
      <c r="R38" s="5">
        <v>-0.39960000000000001</v>
      </c>
      <c r="S38" s="5">
        <v>-2.8299999999999999E-2</v>
      </c>
      <c r="T38" s="5">
        <v>-9.1000000000000004E-3</v>
      </c>
      <c r="U38" s="5">
        <v>4.3099999999999999E-2</v>
      </c>
      <c r="V38" s="3" t="s">
        <v>65</v>
      </c>
    </row>
    <row r="39" spans="1:22" x14ac:dyDescent="0.2">
      <c r="A39" s="3" t="s">
        <v>38</v>
      </c>
      <c r="B39" s="5">
        <v>-11.6304</v>
      </c>
      <c r="C39" s="5">
        <v>-2.5173000000000001</v>
      </c>
      <c r="D39" s="5">
        <v>-0.87050000000000005</v>
      </c>
      <c r="E39" s="5">
        <v>-0.43690000000000001</v>
      </c>
      <c r="F39" s="5">
        <v>-0.17399999999999999</v>
      </c>
      <c r="G39" s="5">
        <v>0.86470000000000002</v>
      </c>
      <c r="H39" s="5">
        <v>0.17910000000000001</v>
      </c>
      <c r="I39" s="5">
        <v>0.41320000000000001</v>
      </c>
      <c r="J39" s="5">
        <v>-1.7491000000000001</v>
      </c>
      <c r="K39" s="5">
        <v>-2.9439000000000002</v>
      </c>
      <c r="L39" s="5">
        <v>-2.6137999999999999</v>
      </c>
      <c r="M39" s="5">
        <v>-2.6181000000000001</v>
      </c>
      <c r="N39" s="5">
        <v>-1.0968</v>
      </c>
      <c r="O39" s="5">
        <v>-1.0484</v>
      </c>
      <c r="P39" s="5">
        <v>-0.87250000000000005</v>
      </c>
      <c r="Q39" s="5">
        <v>-0.83030000000000004</v>
      </c>
      <c r="R39" s="5">
        <v>-0.24010000000000001</v>
      </c>
      <c r="S39" s="5">
        <v>-1.5699999999999999E-2</v>
      </c>
      <c r="T39" s="5">
        <v>4.1000000000000003E-3</v>
      </c>
      <c r="U39" s="5">
        <v>5.45E-2</v>
      </c>
      <c r="V39" s="3" t="s">
        <v>65</v>
      </c>
    </row>
    <row r="40" spans="1:22" x14ac:dyDescent="0.2">
      <c r="A40" s="3" t="s">
        <v>117</v>
      </c>
      <c r="B40" s="5">
        <v>-0.22789999999999999</v>
      </c>
      <c r="C40" s="5">
        <v>-0.14349999999999999</v>
      </c>
      <c r="D40" s="5">
        <v>-8.0399999999999999E-2</v>
      </c>
      <c r="E40" s="5">
        <v>-1.04E-2</v>
      </c>
      <c r="F40" s="5">
        <v>-2.0000000000000001E-4</v>
      </c>
      <c r="G40" s="5">
        <v>1.9699999999999999E-2</v>
      </c>
      <c r="H40" s="5">
        <v>-1.9599999999999999E-2</v>
      </c>
      <c r="I40" s="5">
        <v>-5.7000000000000002E-3</v>
      </c>
      <c r="J40" s="5">
        <v>-1.0800000000000001E-2</v>
      </c>
      <c r="K40" s="5">
        <v>1.4E-3</v>
      </c>
      <c r="L40" s="5">
        <v>4.3799999999999999E-2</v>
      </c>
      <c r="M40" s="5">
        <v>7.3700000000000002E-2</v>
      </c>
      <c r="N40" s="5">
        <v>0.14180000000000001</v>
      </c>
      <c r="O40" s="5">
        <v>0.1784</v>
      </c>
      <c r="P40" s="5">
        <v>0.2198</v>
      </c>
      <c r="Q40" s="5">
        <v>0.1971</v>
      </c>
      <c r="R40" s="5">
        <v>0.17030000000000001</v>
      </c>
      <c r="S40" s="5">
        <v>0.10390000000000001</v>
      </c>
      <c r="T40" s="5">
        <v>7.22E-2</v>
      </c>
      <c r="U40" s="5">
        <v>7.4200000000000002E-2</v>
      </c>
      <c r="V40" s="3" t="s">
        <v>65</v>
      </c>
    </row>
    <row r="41" spans="1:22" x14ac:dyDescent="0.2">
      <c r="A41" s="3" t="s">
        <v>2</v>
      </c>
      <c r="B41" s="4">
        <v>-7562</v>
      </c>
      <c r="C41" s="4">
        <v>-1847</v>
      </c>
      <c r="D41" s="3">
        <v>-868.44</v>
      </c>
      <c r="E41" s="3">
        <v>-466.74</v>
      </c>
      <c r="F41" s="3">
        <v>-292.39999999999998</v>
      </c>
      <c r="G41" s="3">
        <v>-108.62</v>
      </c>
      <c r="H41" s="3">
        <v>-257.12</v>
      </c>
      <c r="I41" s="3">
        <v>-225.21</v>
      </c>
      <c r="J41" s="4">
        <v>-1119</v>
      </c>
      <c r="K41" s="4">
        <v>-1269</v>
      </c>
      <c r="L41" s="4">
        <v>-1210</v>
      </c>
      <c r="M41" s="4">
        <v>-1265</v>
      </c>
      <c r="N41" s="3">
        <v>-760.07</v>
      </c>
      <c r="O41" s="3">
        <v>-775.87</v>
      </c>
      <c r="P41" s="3">
        <v>-634.04</v>
      </c>
      <c r="Q41" s="3">
        <v>-603.78</v>
      </c>
      <c r="R41" s="3">
        <v>-183.35</v>
      </c>
      <c r="S41" s="3">
        <v>-0.28999999999999998</v>
      </c>
      <c r="T41" s="3">
        <v>8.09</v>
      </c>
      <c r="U41" s="3">
        <v>31.27</v>
      </c>
      <c r="V41" s="3" t="s">
        <v>65</v>
      </c>
    </row>
    <row r="42" spans="1:22" x14ac:dyDescent="0.2">
      <c r="A42" s="3" t="s">
        <v>118</v>
      </c>
      <c r="B42" s="3" t="s">
        <v>12</v>
      </c>
      <c r="C42" s="3" t="s">
        <v>12</v>
      </c>
      <c r="D42" s="5">
        <v>-1.8586</v>
      </c>
      <c r="E42" s="5">
        <v>-0.97109999999999996</v>
      </c>
      <c r="F42" s="5">
        <v>-0.59719999999999995</v>
      </c>
      <c r="G42" s="5">
        <v>-0.21890000000000001</v>
      </c>
      <c r="H42" s="5">
        <v>-0.50980000000000003</v>
      </c>
      <c r="I42" s="5">
        <v>-0.45019999999999999</v>
      </c>
      <c r="J42" s="5">
        <v>-2.2294999999999998</v>
      </c>
      <c r="K42" s="5">
        <v>-2.5425</v>
      </c>
      <c r="L42" s="5">
        <v>-2.4138000000000002</v>
      </c>
      <c r="M42" s="5">
        <v>-2.5108000000000001</v>
      </c>
      <c r="N42" s="5">
        <v>-1.4986999999999999</v>
      </c>
      <c r="O42" s="5">
        <v>-1.5189999999999999</v>
      </c>
      <c r="P42" s="5">
        <v>-1.2492000000000001</v>
      </c>
      <c r="Q42" s="5">
        <v>-1.1909000000000001</v>
      </c>
      <c r="R42" s="5">
        <v>-0.3725</v>
      </c>
      <c r="S42" s="5">
        <v>-5.9999999999999995E-4</v>
      </c>
      <c r="T42" s="5">
        <v>1.6799999999999999E-2</v>
      </c>
      <c r="U42" s="5">
        <v>6.5799999999999997E-2</v>
      </c>
      <c r="V42" s="3" t="s">
        <v>65</v>
      </c>
    </row>
    <row r="43" spans="1:22" x14ac:dyDescent="0.2">
      <c r="A43" s="3" t="s">
        <v>119</v>
      </c>
      <c r="B43" s="3">
        <v>9.0299999999999994</v>
      </c>
      <c r="C43" s="3">
        <v>5.51</v>
      </c>
      <c r="D43" s="3">
        <v>9.6999999999999993</v>
      </c>
      <c r="E43" s="3">
        <v>6.47</v>
      </c>
      <c r="F43" s="3">
        <v>6.05</v>
      </c>
      <c r="G43" s="3">
        <v>6.43</v>
      </c>
      <c r="H43" s="3">
        <v>8.86</v>
      </c>
      <c r="I43" s="3">
        <v>8.27</v>
      </c>
      <c r="J43" s="3">
        <v>7.11</v>
      </c>
      <c r="K43" s="3">
        <v>6.37</v>
      </c>
      <c r="L43" s="3">
        <v>9.64</v>
      </c>
      <c r="M43" s="3">
        <v>10.130000000000001</v>
      </c>
      <c r="N43" s="3">
        <v>11.27</v>
      </c>
      <c r="O43" s="3">
        <v>8.66</v>
      </c>
      <c r="P43" s="3">
        <v>12.63</v>
      </c>
      <c r="Q43" s="3">
        <v>13.5</v>
      </c>
      <c r="R43" s="3">
        <v>13.36</v>
      </c>
      <c r="S43" s="3">
        <v>13.33</v>
      </c>
      <c r="T43" s="3">
        <v>12.48</v>
      </c>
      <c r="U43" s="3">
        <v>10.8</v>
      </c>
      <c r="V43" s="3" t="s">
        <v>65</v>
      </c>
    </row>
    <row r="44" spans="1:22" x14ac:dyDescent="0.2">
      <c r="A44" s="3" t="s">
        <v>3</v>
      </c>
      <c r="B44" s="4">
        <v>-7571</v>
      </c>
      <c r="C44" s="4">
        <v>-1853</v>
      </c>
      <c r="D44" s="3">
        <v>-878.14</v>
      </c>
      <c r="E44" s="3">
        <v>-473.21</v>
      </c>
      <c r="F44" s="3">
        <v>-298.44</v>
      </c>
      <c r="G44" s="3">
        <v>-115.05</v>
      </c>
      <c r="H44" s="3">
        <v>-265.98</v>
      </c>
      <c r="I44" s="3">
        <v>-233.47</v>
      </c>
      <c r="J44" s="4">
        <v>-1126</v>
      </c>
      <c r="K44" s="4">
        <v>-1276</v>
      </c>
      <c r="L44" s="4">
        <v>-1219</v>
      </c>
      <c r="M44" s="4">
        <v>-1275</v>
      </c>
      <c r="N44" s="3">
        <v>-771.34</v>
      </c>
      <c r="O44" s="3">
        <v>-784.53</v>
      </c>
      <c r="P44" s="3">
        <v>-646.66999999999996</v>
      </c>
      <c r="Q44" s="3">
        <v>-617.28</v>
      </c>
      <c r="R44" s="3">
        <v>-196.71</v>
      </c>
      <c r="S44" s="3">
        <v>-13.63</v>
      </c>
      <c r="T44" s="3">
        <v>-4.3899999999999997</v>
      </c>
      <c r="U44" s="3">
        <v>20.47</v>
      </c>
      <c r="V44" s="3" t="s">
        <v>65</v>
      </c>
    </row>
    <row r="45" spans="1:22" x14ac:dyDescent="0.2">
      <c r="A45" s="3" t="s">
        <v>120</v>
      </c>
      <c r="B45" s="3" t="s">
        <v>12</v>
      </c>
      <c r="C45" s="3" t="s">
        <v>12</v>
      </c>
      <c r="D45" s="5">
        <v>-1.8794</v>
      </c>
      <c r="E45" s="5">
        <v>-0.98450000000000004</v>
      </c>
      <c r="F45" s="5">
        <v>-0.60960000000000003</v>
      </c>
      <c r="G45" s="5">
        <v>-0.23180000000000001</v>
      </c>
      <c r="H45" s="5">
        <v>-0.52739999999999998</v>
      </c>
      <c r="I45" s="5">
        <v>-0.4667</v>
      </c>
      <c r="J45" s="5">
        <v>-2.2435999999999998</v>
      </c>
      <c r="K45" s="5">
        <v>-2.5552000000000001</v>
      </c>
      <c r="L45" s="5">
        <v>-2.4329999999999998</v>
      </c>
      <c r="M45" s="5">
        <v>-2.5308999999999999</v>
      </c>
      <c r="N45" s="5">
        <v>-1.5209999999999999</v>
      </c>
      <c r="O45" s="5">
        <v>-1.536</v>
      </c>
      <c r="P45" s="5">
        <v>-1.2741</v>
      </c>
      <c r="Q45" s="5">
        <v>-1.2176</v>
      </c>
      <c r="R45" s="5">
        <v>-0.39960000000000001</v>
      </c>
      <c r="S45" s="5">
        <v>-2.8299999999999999E-2</v>
      </c>
      <c r="T45" s="5">
        <v>-9.1000000000000004E-3</v>
      </c>
      <c r="U45" s="5">
        <v>4.3099999999999999E-2</v>
      </c>
      <c r="V45" s="3" t="s">
        <v>65</v>
      </c>
    </row>
    <row r="46" spans="1:22" x14ac:dyDescent="0.2">
      <c r="A46" s="3" t="s">
        <v>121</v>
      </c>
      <c r="B46" s="3" t="s">
        <v>12</v>
      </c>
      <c r="C46" s="3" t="s">
        <v>12</v>
      </c>
      <c r="D46" s="3" t="s">
        <v>12</v>
      </c>
      <c r="E46" s="3" t="s">
        <v>12</v>
      </c>
      <c r="F46" s="3" t="s">
        <v>12</v>
      </c>
      <c r="G46" s="3" t="s">
        <v>12</v>
      </c>
      <c r="H46" s="3" t="s">
        <v>12</v>
      </c>
      <c r="I46" s="3" t="s">
        <v>12</v>
      </c>
      <c r="J46" s="3" t="s">
        <v>12</v>
      </c>
      <c r="K46" s="3" t="s">
        <v>12</v>
      </c>
      <c r="L46" s="3" t="s">
        <v>12</v>
      </c>
      <c r="M46" s="3" t="s">
        <v>12</v>
      </c>
      <c r="N46" s="3" t="s">
        <v>12</v>
      </c>
      <c r="O46" s="3" t="s">
        <v>12</v>
      </c>
      <c r="P46" s="3" t="s">
        <v>12</v>
      </c>
      <c r="Q46" s="3" t="s">
        <v>12</v>
      </c>
      <c r="R46" s="3" t="s">
        <v>12</v>
      </c>
      <c r="S46" s="3" t="s">
        <v>12</v>
      </c>
      <c r="T46" s="3" t="s">
        <v>12</v>
      </c>
      <c r="U46" s="5">
        <v>1.0200000000000001E-2</v>
      </c>
      <c r="V46" s="3" t="s">
        <v>65</v>
      </c>
    </row>
    <row r="47" spans="1:22" x14ac:dyDescent="0.2">
      <c r="A47" s="3" t="s">
        <v>510</v>
      </c>
      <c r="B47" s="3">
        <v>459.28</v>
      </c>
      <c r="C47" s="3">
        <v>463.46</v>
      </c>
      <c r="D47" s="3">
        <v>467.24</v>
      </c>
      <c r="E47" s="3">
        <v>480.63</v>
      </c>
      <c r="F47" s="3">
        <v>489.59</v>
      </c>
      <c r="G47" s="3">
        <v>496.26</v>
      </c>
      <c r="H47" s="3">
        <v>504.33</v>
      </c>
      <c r="I47" s="3">
        <v>500.23</v>
      </c>
      <c r="J47" s="3">
        <v>501.9</v>
      </c>
      <c r="K47" s="3">
        <v>499.26</v>
      </c>
      <c r="L47" s="3">
        <v>501.23</v>
      </c>
      <c r="M47" s="3">
        <v>503.86</v>
      </c>
      <c r="N47" s="3">
        <v>507.14</v>
      </c>
      <c r="O47" s="3">
        <v>510.76</v>
      </c>
      <c r="P47" s="3">
        <v>507.57</v>
      </c>
      <c r="Q47" s="3">
        <v>506.98</v>
      </c>
      <c r="R47" s="3">
        <v>492.21</v>
      </c>
      <c r="S47" s="3">
        <v>480.74</v>
      </c>
      <c r="T47" s="3">
        <v>482.95</v>
      </c>
      <c r="U47" s="3">
        <v>475.23</v>
      </c>
      <c r="V47" s="3" t="s">
        <v>65</v>
      </c>
    </row>
    <row r="48" spans="1:22" x14ac:dyDescent="0.2">
      <c r="A48" s="3" t="s">
        <v>533</v>
      </c>
      <c r="B48" s="3" t="s">
        <v>12</v>
      </c>
      <c r="C48" s="3" t="s">
        <v>12</v>
      </c>
      <c r="D48" s="3" t="s">
        <v>12</v>
      </c>
      <c r="E48" s="3" t="s">
        <v>12</v>
      </c>
      <c r="F48" s="3" t="s">
        <v>12</v>
      </c>
      <c r="G48" s="3" t="s">
        <v>12</v>
      </c>
      <c r="H48" s="3" t="s">
        <v>12</v>
      </c>
      <c r="I48" s="3" t="s">
        <v>12</v>
      </c>
      <c r="J48" s="3" t="s">
        <v>12</v>
      </c>
      <c r="K48" s="3" t="s">
        <v>12</v>
      </c>
      <c r="L48" s="3" t="s">
        <v>12</v>
      </c>
      <c r="M48" s="3" t="s">
        <v>12</v>
      </c>
      <c r="N48" s="3" t="s">
        <v>12</v>
      </c>
      <c r="O48" s="3">
        <v>1.2</v>
      </c>
      <c r="P48" s="3" t="s">
        <v>12</v>
      </c>
      <c r="Q48" s="3" t="s">
        <v>12</v>
      </c>
      <c r="R48" s="3" t="s">
        <v>12</v>
      </c>
      <c r="S48" s="3">
        <v>0.1</v>
      </c>
      <c r="T48" s="3" t="s">
        <v>12</v>
      </c>
      <c r="U48" s="3" t="s">
        <v>12</v>
      </c>
      <c r="V48" s="3" t="s">
        <v>65</v>
      </c>
    </row>
    <row r="56" spans="1:22" x14ac:dyDescent="0.2">
      <c r="A56" s="1" t="s">
        <v>100</v>
      </c>
      <c r="B56" s="1" t="s">
        <v>432</v>
      </c>
      <c r="C56" s="1" t="s">
        <v>101</v>
      </c>
      <c r="D56" s="1" t="s">
        <v>102</v>
      </c>
      <c r="E56" s="1" t="s">
        <v>180</v>
      </c>
      <c r="F56" s="1" t="s">
        <v>181</v>
      </c>
      <c r="G56" s="1" t="s">
        <v>103</v>
      </c>
      <c r="H56" s="1" t="s">
        <v>182</v>
      </c>
      <c r="I56" s="1" t="s">
        <v>183</v>
      </c>
      <c r="J56" s="1" t="s">
        <v>184</v>
      </c>
      <c r="K56" s="1" t="s">
        <v>104</v>
      </c>
      <c r="L56" s="1" t="s">
        <v>185</v>
      </c>
      <c r="M56" s="1" t="s">
        <v>186</v>
      </c>
      <c r="N56" s="1" t="s">
        <v>187</v>
      </c>
      <c r="O56" s="1" t="s">
        <v>105</v>
      </c>
      <c r="P56" s="1" t="s">
        <v>188</v>
      </c>
      <c r="Q56" s="1" t="s">
        <v>189</v>
      </c>
      <c r="R56" s="1" t="s">
        <v>190</v>
      </c>
      <c r="S56" s="1" t="s">
        <v>503</v>
      </c>
      <c r="T56" s="1" t="s">
        <v>513</v>
      </c>
      <c r="U56" s="1" t="s">
        <v>514</v>
      </c>
      <c r="V56" s="1" t="s">
        <v>476</v>
      </c>
    </row>
    <row r="57" spans="1:22" x14ac:dyDescent="0.2">
      <c r="A57" s="1" t="s">
        <v>10</v>
      </c>
      <c r="B57" s="1" t="s">
        <v>433</v>
      </c>
      <c r="C57" s="1" t="s">
        <v>413</v>
      </c>
      <c r="D57" s="1" t="s">
        <v>414</v>
      </c>
      <c r="E57" s="1" t="s">
        <v>405</v>
      </c>
      <c r="F57" s="1" t="s">
        <v>406</v>
      </c>
      <c r="G57" s="1" t="s">
        <v>404</v>
      </c>
      <c r="H57" s="1" t="s">
        <v>415</v>
      </c>
      <c r="I57" s="1" t="s">
        <v>408</v>
      </c>
      <c r="J57" s="1" t="s">
        <v>416</v>
      </c>
      <c r="K57" s="1" t="s">
        <v>417</v>
      </c>
      <c r="L57" s="1" t="s">
        <v>418</v>
      </c>
      <c r="M57" s="1" t="s">
        <v>409</v>
      </c>
      <c r="N57" s="1" t="s">
        <v>419</v>
      </c>
      <c r="O57" s="1" t="s">
        <v>420</v>
      </c>
      <c r="P57" s="1" t="s">
        <v>421</v>
      </c>
      <c r="Q57" s="1" t="s">
        <v>410</v>
      </c>
      <c r="R57" s="1" t="s">
        <v>422</v>
      </c>
      <c r="S57" s="1" t="s">
        <v>423</v>
      </c>
      <c r="T57" s="1" t="s">
        <v>424</v>
      </c>
      <c r="U57" s="1" t="s">
        <v>411</v>
      </c>
      <c r="V57" s="1" t="s">
        <v>476</v>
      </c>
    </row>
    <row r="58" spans="1:22" x14ac:dyDescent="0.2">
      <c r="A58" s="3" t="s">
        <v>11</v>
      </c>
      <c r="B58" s="3">
        <v>60.3</v>
      </c>
      <c r="C58" s="3">
        <v>38.119999999999997</v>
      </c>
      <c r="D58" s="3">
        <v>46.34</v>
      </c>
      <c r="E58" s="3">
        <v>66.92</v>
      </c>
      <c r="F58" s="3">
        <v>81.33</v>
      </c>
      <c r="G58" s="3">
        <v>46.82</v>
      </c>
      <c r="H58" s="3">
        <v>45.01</v>
      </c>
      <c r="I58" s="3">
        <v>65.97</v>
      </c>
      <c r="J58" s="3">
        <v>94.31</v>
      </c>
      <c r="K58" s="3">
        <v>43.84</v>
      </c>
      <c r="L58" s="3">
        <v>60.39</v>
      </c>
      <c r="M58" s="3">
        <v>69.39</v>
      </c>
      <c r="N58" s="3">
        <v>92.68</v>
      </c>
      <c r="O58" s="3">
        <v>63.36</v>
      </c>
      <c r="P58" s="3">
        <v>56.98</v>
      </c>
      <c r="Q58" s="3">
        <v>56.4</v>
      </c>
      <c r="R58" s="3">
        <v>82.54</v>
      </c>
      <c r="S58" s="3">
        <v>59.68</v>
      </c>
      <c r="T58" s="3">
        <v>52.65</v>
      </c>
      <c r="U58" s="3">
        <v>420.9</v>
      </c>
      <c r="V58" s="3" t="s">
        <v>65</v>
      </c>
    </row>
    <row r="59" spans="1:22" x14ac:dyDescent="0.2">
      <c r="A59" s="3" t="s">
        <v>515</v>
      </c>
      <c r="B59" s="3" t="s">
        <v>12</v>
      </c>
      <c r="C59" s="3" t="s">
        <v>12</v>
      </c>
      <c r="D59" s="3" t="s">
        <v>12</v>
      </c>
      <c r="E59" s="3" t="s">
        <v>12</v>
      </c>
      <c r="F59" s="3" t="s">
        <v>12</v>
      </c>
      <c r="G59" s="3" t="s">
        <v>12</v>
      </c>
      <c r="H59" s="3" t="s">
        <v>12</v>
      </c>
      <c r="I59" s="3" t="s">
        <v>12</v>
      </c>
      <c r="J59" s="3" t="s">
        <v>12</v>
      </c>
      <c r="K59" s="3" t="s">
        <v>12</v>
      </c>
      <c r="L59" s="3" t="s">
        <v>12</v>
      </c>
      <c r="M59" s="3" t="s">
        <v>12</v>
      </c>
      <c r="N59" s="3" t="s">
        <v>12</v>
      </c>
      <c r="O59" s="3" t="s">
        <v>12</v>
      </c>
      <c r="P59" s="3" t="s">
        <v>12</v>
      </c>
      <c r="Q59" s="3" t="s">
        <v>12</v>
      </c>
      <c r="R59" s="3" t="s">
        <v>12</v>
      </c>
      <c r="S59" s="3" t="s">
        <v>12</v>
      </c>
      <c r="T59" s="3" t="s">
        <v>12</v>
      </c>
      <c r="U59" s="3">
        <v>109.97</v>
      </c>
      <c r="V59" s="3" t="s">
        <v>65</v>
      </c>
    </row>
    <row r="60" spans="1:22" x14ac:dyDescent="0.2">
      <c r="A60" s="3" t="s">
        <v>122</v>
      </c>
      <c r="B60" s="3">
        <v>60.3</v>
      </c>
      <c r="C60" s="3">
        <v>38.119999999999997</v>
      </c>
      <c r="D60" s="3">
        <v>46.34</v>
      </c>
      <c r="E60" s="3">
        <v>66.92</v>
      </c>
      <c r="F60" s="3">
        <v>81.33</v>
      </c>
      <c r="G60" s="3">
        <v>46.82</v>
      </c>
      <c r="H60" s="3">
        <v>45.01</v>
      </c>
      <c r="I60" s="3">
        <v>65.97</v>
      </c>
      <c r="J60" s="3">
        <v>94.31</v>
      </c>
      <c r="K60" s="3">
        <v>43.84</v>
      </c>
      <c r="L60" s="3">
        <v>60.39</v>
      </c>
      <c r="M60" s="3">
        <v>69.39</v>
      </c>
      <c r="N60" s="3">
        <v>92.68</v>
      </c>
      <c r="O60" s="3">
        <v>63.36</v>
      </c>
      <c r="P60" s="3">
        <v>56.98</v>
      </c>
      <c r="Q60" s="3">
        <v>56.4</v>
      </c>
      <c r="R60" s="3">
        <v>82.54</v>
      </c>
      <c r="S60" s="3">
        <v>59.68</v>
      </c>
      <c r="T60" s="3">
        <v>52.65</v>
      </c>
      <c r="U60" s="3">
        <v>530.87</v>
      </c>
      <c r="V60" s="3" t="s">
        <v>65</v>
      </c>
    </row>
    <row r="61" spans="1:22" x14ac:dyDescent="0.2">
      <c r="A61" s="3" t="s">
        <v>194</v>
      </c>
      <c r="B61" s="5">
        <v>-0.2586</v>
      </c>
      <c r="C61" s="5">
        <v>-0.18579999999999999</v>
      </c>
      <c r="D61" s="5">
        <v>2.9600000000000001E-2</v>
      </c>
      <c r="E61" s="5">
        <v>1.4500000000000001E-2</v>
      </c>
      <c r="F61" s="5">
        <v>-0.13769999999999999</v>
      </c>
      <c r="G61" s="5">
        <v>6.8000000000000005E-2</v>
      </c>
      <c r="H61" s="5">
        <v>-0.25469999999999998</v>
      </c>
      <c r="I61" s="5">
        <v>-4.9299999999999997E-2</v>
      </c>
      <c r="J61" s="5">
        <v>1.7600000000000001E-2</v>
      </c>
      <c r="K61" s="5">
        <v>-0.30809999999999998</v>
      </c>
      <c r="L61" s="5">
        <v>5.9900000000000002E-2</v>
      </c>
      <c r="M61" s="5">
        <v>0.2303</v>
      </c>
      <c r="N61" s="5">
        <v>0.12280000000000001</v>
      </c>
      <c r="O61" s="5">
        <v>6.1699999999999998E-2</v>
      </c>
      <c r="P61" s="5">
        <v>8.2100000000000006E-2</v>
      </c>
      <c r="Q61" s="5">
        <v>-0.89380000000000004</v>
      </c>
      <c r="R61" s="5">
        <v>-0.84689999999999999</v>
      </c>
      <c r="S61" s="5">
        <v>-0.89449999999999996</v>
      </c>
      <c r="T61" s="5">
        <v>-0.90900000000000003</v>
      </c>
      <c r="U61" s="5">
        <v>-7.6499999999999999E-2</v>
      </c>
      <c r="V61" s="3" t="s">
        <v>65</v>
      </c>
    </row>
    <row r="62" spans="1:22" x14ac:dyDescent="0.2">
      <c r="A62" s="3" t="s">
        <v>302</v>
      </c>
      <c r="B62" s="3">
        <v>107.29</v>
      </c>
      <c r="C62" s="3">
        <v>183.8</v>
      </c>
      <c r="D62" s="3">
        <v>109.17</v>
      </c>
      <c r="E62" s="3">
        <v>114.03</v>
      </c>
      <c r="F62" s="3">
        <v>116.65</v>
      </c>
      <c r="G62" s="3">
        <v>185.02</v>
      </c>
      <c r="H62" s="3">
        <v>129.94999999999999</v>
      </c>
      <c r="I62" s="3">
        <v>122.8</v>
      </c>
      <c r="J62" s="3">
        <v>140.18</v>
      </c>
      <c r="K62" s="3">
        <v>189.88</v>
      </c>
      <c r="L62" s="3">
        <v>110.63</v>
      </c>
      <c r="M62" s="3">
        <v>119.45</v>
      </c>
      <c r="N62" s="3">
        <v>127.83</v>
      </c>
      <c r="O62" s="3">
        <v>190.38</v>
      </c>
      <c r="P62" s="3">
        <v>124.95</v>
      </c>
      <c r="Q62" s="3">
        <v>132.41999999999999</v>
      </c>
      <c r="R62" s="3">
        <v>151.93</v>
      </c>
      <c r="S62" s="3">
        <v>198.56</v>
      </c>
      <c r="T62" s="3">
        <v>149.61000000000001</v>
      </c>
      <c r="U62" s="3">
        <v>124.59</v>
      </c>
      <c r="V62" s="3" t="s">
        <v>65</v>
      </c>
    </row>
    <row r="63" spans="1:22" x14ac:dyDescent="0.2">
      <c r="A63" s="3" t="s">
        <v>505</v>
      </c>
      <c r="B63" s="3" t="s">
        <v>12</v>
      </c>
      <c r="C63" s="3" t="s">
        <v>12</v>
      </c>
      <c r="D63" s="3">
        <v>5.9</v>
      </c>
      <c r="E63" s="3">
        <v>5.8</v>
      </c>
      <c r="F63" s="3">
        <v>9.3000000000000007</v>
      </c>
      <c r="G63" s="3">
        <v>15.3</v>
      </c>
      <c r="H63" s="3" t="s">
        <v>12</v>
      </c>
      <c r="I63" s="3" t="s">
        <v>12</v>
      </c>
      <c r="J63" s="3" t="s">
        <v>12</v>
      </c>
      <c r="K63" s="3">
        <v>2.5</v>
      </c>
      <c r="L63" s="3" t="s">
        <v>12</v>
      </c>
      <c r="M63" s="3" t="s">
        <v>12</v>
      </c>
      <c r="N63" s="3" t="s">
        <v>12</v>
      </c>
      <c r="O63" s="3" t="s">
        <v>12</v>
      </c>
      <c r="P63" s="3" t="s">
        <v>12</v>
      </c>
      <c r="Q63" s="3" t="s">
        <v>12</v>
      </c>
      <c r="R63" s="3" t="s">
        <v>12</v>
      </c>
      <c r="S63" s="3" t="s">
        <v>12</v>
      </c>
      <c r="T63" s="3" t="s">
        <v>12</v>
      </c>
      <c r="U63" s="3" t="s">
        <v>12</v>
      </c>
      <c r="V63" s="3" t="s">
        <v>65</v>
      </c>
    </row>
    <row r="64" spans="1:22" x14ac:dyDescent="0.2">
      <c r="A64" s="3" t="s">
        <v>123</v>
      </c>
      <c r="B64" s="3">
        <v>107.29</v>
      </c>
      <c r="C64" s="3">
        <v>183.8</v>
      </c>
      <c r="D64" s="3">
        <v>115.07</v>
      </c>
      <c r="E64" s="3">
        <v>119.83</v>
      </c>
      <c r="F64" s="3">
        <v>125.95</v>
      </c>
      <c r="G64" s="3">
        <v>200.32</v>
      </c>
      <c r="H64" s="3">
        <v>129.94999999999999</v>
      </c>
      <c r="I64" s="3">
        <v>122.8</v>
      </c>
      <c r="J64" s="3">
        <v>140.18</v>
      </c>
      <c r="K64" s="3">
        <v>192.38</v>
      </c>
      <c r="L64" s="3">
        <v>110.63</v>
      </c>
      <c r="M64" s="3">
        <v>119.45</v>
      </c>
      <c r="N64" s="3">
        <v>127.83</v>
      </c>
      <c r="O64" s="3">
        <v>190.38</v>
      </c>
      <c r="P64" s="3">
        <v>124.95</v>
      </c>
      <c r="Q64" s="3">
        <v>132.41999999999999</v>
      </c>
      <c r="R64" s="3">
        <v>151.93</v>
      </c>
      <c r="S64" s="3">
        <v>198.56</v>
      </c>
      <c r="T64" s="3">
        <v>149.61000000000001</v>
      </c>
      <c r="U64" s="3">
        <v>124.59</v>
      </c>
      <c r="V64" s="3" t="s">
        <v>65</v>
      </c>
    </row>
    <row r="65" spans="1:22" x14ac:dyDescent="0.2">
      <c r="A65" s="3" t="s">
        <v>428</v>
      </c>
      <c r="B65" s="3">
        <v>34.07</v>
      </c>
      <c r="C65" s="3">
        <v>28.62</v>
      </c>
      <c r="D65" s="3">
        <v>22.77</v>
      </c>
      <c r="E65" s="3">
        <v>19.63</v>
      </c>
      <c r="F65" s="3">
        <v>31.91</v>
      </c>
      <c r="G65" s="3">
        <v>18.91</v>
      </c>
      <c r="H65" s="3">
        <v>22.74</v>
      </c>
      <c r="I65" s="3">
        <v>18.78</v>
      </c>
      <c r="J65" s="3">
        <v>22.93</v>
      </c>
      <c r="K65" s="3">
        <v>21.32</v>
      </c>
      <c r="L65" s="3">
        <v>24.3</v>
      </c>
      <c r="M65" s="3">
        <v>24.7</v>
      </c>
      <c r="N65" s="3">
        <v>20.22</v>
      </c>
      <c r="O65" s="3">
        <v>13.15</v>
      </c>
      <c r="P65" s="3">
        <v>14.55</v>
      </c>
      <c r="Q65" s="3">
        <v>18.440000000000001</v>
      </c>
      <c r="R65" s="3">
        <v>15.09</v>
      </c>
      <c r="S65" s="3">
        <v>13.3</v>
      </c>
      <c r="T65" s="3">
        <v>14.94</v>
      </c>
      <c r="U65" s="3">
        <v>16.09</v>
      </c>
      <c r="V65" s="3" t="s">
        <v>65</v>
      </c>
    </row>
    <row r="66" spans="1:22" x14ac:dyDescent="0.2">
      <c r="A66" s="3" t="s">
        <v>516</v>
      </c>
      <c r="B66" s="3">
        <v>1.96</v>
      </c>
      <c r="C66" s="3">
        <v>1.78</v>
      </c>
      <c r="D66" s="3">
        <v>1.86</v>
      </c>
      <c r="E66" s="3">
        <v>1.88</v>
      </c>
      <c r="F66" s="3">
        <v>2.4</v>
      </c>
      <c r="G66" s="3">
        <v>1.86</v>
      </c>
      <c r="H66" s="3">
        <v>1.87</v>
      </c>
      <c r="I66" s="3">
        <v>2.09</v>
      </c>
      <c r="J66" s="3">
        <v>2.15</v>
      </c>
      <c r="K66" s="3">
        <v>7.03</v>
      </c>
      <c r="L66" s="3">
        <v>6.58</v>
      </c>
      <c r="M66" s="3">
        <v>6.16</v>
      </c>
      <c r="N66" s="3">
        <v>6.27</v>
      </c>
      <c r="O66" s="3">
        <v>1.08</v>
      </c>
      <c r="P66" s="3">
        <v>1.1499999999999999</v>
      </c>
      <c r="Q66" s="3">
        <v>1.21</v>
      </c>
      <c r="R66" s="3">
        <v>1.19</v>
      </c>
      <c r="S66" s="3">
        <v>1.08</v>
      </c>
      <c r="T66" s="3">
        <v>1.23</v>
      </c>
      <c r="U66" s="3">
        <v>1.22</v>
      </c>
      <c r="V66" s="3" t="s">
        <v>65</v>
      </c>
    </row>
    <row r="67" spans="1:22" x14ac:dyDescent="0.2">
      <c r="A67" s="3" t="s">
        <v>125</v>
      </c>
      <c r="B67" s="3" t="s">
        <v>12</v>
      </c>
      <c r="C67" s="3" t="s">
        <v>12</v>
      </c>
      <c r="D67" s="3" t="s">
        <v>12</v>
      </c>
      <c r="E67" s="3" t="s">
        <v>12</v>
      </c>
      <c r="F67" s="3" t="s">
        <v>12</v>
      </c>
      <c r="G67" s="3" t="s">
        <v>12</v>
      </c>
      <c r="H67" s="3" t="s">
        <v>12</v>
      </c>
      <c r="I67" s="3" t="s">
        <v>12</v>
      </c>
      <c r="J67" s="3">
        <v>0.1</v>
      </c>
      <c r="K67" s="3" t="s">
        <v>12</v>
      </c>
      <c r="L67" s="3">
        <v>0.4</v>
      </c>
      <c r="M67" s="3" t="s">
        <v>12</v>
      </c>
      <c r="N67" s="3" t="s">
        <v>12</v>
      </c>
      <c r="O67" s="3" t="s">
        <v>12</v>
      </c>
      <c r="P67" s="3" t="s">
        <v>12</v>
      </c>
      <c r="Q67" s="3" t="s">
        <v>12</v>
      </c>
      <c r="R67" s="3" t="s">
        <v>12</v>
      </c>
      <c r="S67" s="3" t="s">
        <v>12</v>
      </c>
      <c r="T67" s="3" t="s">
        <v>12</v>
      </c>
      <c r="U67" s="3" t="s">
        <v>12</v>
      </c>
      <c r="V67" s="3" t="s">
        <v>65</v>
      </c>
    </row>
    <row r="68" spans="1:22" x14ac:dyDescent="0.2">
      <c r="A68" s="3" t="s">
        <v>126</v>
      </c>
      <c r="B68" s="3">
        <v>203.61</v>
      </c>
      <c r="C68" s="3">
        <v>252.32</v>
      </c>
      <c r="D68" s="3">
        <v>186.04</v>
      </c>
      <c r="E68" s="3">
        <v>208.27</v>
      </c>
      <c r="F68" s="3">
        <v>241.59</v>
      </c>
      <c r="G68" s="3">
        <v>267.89999999999998</v>
      </c>
      <c r="H68" s="3">
        <v>199.57</v>
      </c>
      <c r="I68" s="3">
        <v>209.63</v>
      </c>
      <c r="J68" s="3">
        <v>259.68</v>
      </c>
      <c r="K68" s="3">
        <v>264.57</v>
      </c>
      <c r="L68" s="3">
        <v>202.29</v>
      </c>
      <c r="M68" s="3">
        <v>219.68</v>
      </c>
      <c r="N68" s="3">
        <v>246.99</v>
      </c>
      <c r="O68" s="3">
        <v>267.97000000000003</v>
      </c>
      <c r="P68" s="3">
        <v>197.62</v>
      </c>
      <c r="Q68" s="3">
        <v>208.46</v>
      </c>
      <c r="R68" s="3">
        <v>250.75</v>
      </c>
      <c r="S68" s="3">
        <v>272.62</v>
      </c>
      <c r="T68" s="3">
        <v>218.44</v>
      </c>
      <c r="U68" s="3">
        <v>672.77</v>
      </c>
      <c r="V68" s="3" t="s">
        <v>65</v>
      </c>
    </row>
    <row r="69" spans="1:22" x14ac:dyDescent="0.2">
      <c r="A69" s="3" t="s">
        <v>127</v>
      </c>
      <c r="B69" s="3">
        <v>81.41</v>
      </c>
      <c r="C69" s="3">
        <v>80.89</v>
      </c>
      <c r="D69" s="3">
        <v>82.83</v>
      </c>
      <c r="E69" s="3">
        <v>81.92</v>
      </c>
      <c r="F69" s="3">
        <v>84.2</v>
      </c>
      <c r="G69" s="3">
        <v>86.28</v>
      </c>
      <c r="H69" s="3">
        <v>84.73</v>
      </c>
      <c r="I69" s="3">
        <v>88.77</v>
      </c>
      <c r="J69" s="3">
        <v>90.99</v>
      </c>
      <c r="K69" s="3">
        <v>93.61</v>
      </c>
      <c r="L69" s="3">
        <v>95.94</v>
      </c>
      <c r="M69" s="3">
        <v>99.75</v>
      </c>
      <c r="N69" s="3">
        <v>100.32</v>
      </c>
      <c r="O69" s="3">
        <v>103.35</v>
      </c>
      <c r="P69" s="3">
        <v>106.89</v>
      </c>
      <c r="Q69" s="3">
        <v>110</v>
      </c>
      <c r="R69" s="3">
        <v>112.46</v>
      </c>
      <c r="S69" s="3">
        <v>116.57</v>
      </c>
      <c r="T69" s="3">
        <v>124.77</v>
      </c>
      <c r="U69" s="3">
        <v>126.84</v>
      </c>
      <c r="V69" s="3" t="s">
        <v>65</v>
      </c>
    </row>
    <row r="70" spans="1:22" x14ac:dyDescent="0.2">
      <c r="A70" s="3" t="s">
        <v>517</v>
      </c>
      <c r="B70" s="3">
        <v>6.3</v>
      </c>
      <c r="C70" s="3">
        <v>6.8</v>
      </c>
      <c r="D70" s="3">
        <v>5.4</v>
      </c>
      <c r="E70" s="3">
        <v>5.4</v>
      </c>
      <c r="F70" s="3">
        <v>2.7</v>
      </c>
      <c r="G70" s="3">
        <v>0.9</v>
      </c>
      <c r="H70" s="3">
        <v>1.1000000000000001</v>
      </c>
      <c r="I70" s="3">
        <v>1.1000000000000001</v>
      </c>
      <c r="J70" s="3">
        <v>1.3</v>
      </c>
      <c r="K70" s="3">
        <v>0.7</v>
      </c>
      <c r="L70" s="3" t="s">
        <v>12</v>
      </c>
      <c r="M70" s="3" t="s">
        <v>12</v>
      </c>
      <c r="N70" s="3" t="s">
        <v>12</v>
      </c>
      <c r="O70" s="3" t="s">
        <v>12</v>
      </c>
      <c r="P70" s="3" t="s">
        <v>12</v>
      </c>
      <c r="Q70" s="3" t="s">
        <v>12</v>
      </c>
      <c r="R70" s="3" t="s">
        <v>12</v>
      </c>
      <c r="S70" s="3" t="s">
        <v>12</v>
      </c>
      <c r="T70" s="3" t="s">
        <v>12</v>
      </c>
      <c r="U70" s="3" t="s">
        <v>12</v>
      </c>
      <c r="V70" s="3" t="s">
        <v>65</v>
      </c>
    </row>
    <row r="71" spans="1:22" x14ac:dyDescent="0.2">
      <c r="A71" s="3" t="s">
        <v>430</v>
      </c>
      <c r="B71" s="3">
        <v>5.4</v>
      </c>
      <c r="C71" s="4">
        <v>1525</v>
      </c>
      <c r="D71" s="4">
        <v>1173</v>
      </c>
      <c r="E71" s="4">
        <v>1032</v>
      </c>
      <c r="F71" s="3">
        <v>919.84</v>
      </c>
      <c r="G71" s="3">
        <v>757.57</v>
      </c>
      <c r="H71" s="3">
        <v>614.11</v>
      </c>
      <c r="I71" s="3">
        <v>719.03</v>
      </c>
      <c r="J71" s="3">
        <v>651.52</v>
      </c>
      <c r="K71" s="3">
        <v>188.15</v>
      </c>
      <c r="L71" s="3">
        <v>233.03</v>
      </c>
      <c r="M71" s="3">
        <v>243.37</v>
      </c>
      <c r="N71" s="3">
        <v>377.28</v>
      </c>
      <c r="O71" s="3">
        <v>319.77999999999997</v>
      </c>
      <c r="P71" s="3">
        <v>261.14</v>
      </c>
      <c r="Q71" s="3">
        <v>239.11</v>
      </c>
      <c r="R71" s="3">
        <v>118.27</v>
      </c>
      <c r="S71" s="3">
        <v>6.5</v>
      </c>
      <c r="T71" s="3">
        <v>33.54</v>
      </c>
      <c r="U71" s="3">
        <v>18.829999999999998</v>
      </c>
      <c r="V71" s="3" t="s">
        <v>65</v>
      </c>
    </row>
    <row r="72" spans="1:22" x14ac:dyDescent="0.2">
      <c r="A72" s="3" t="s">
        <v>494</v>
      </c>
      <c r="B72" s="3" t="s">
        <v>12</v>
      </c>
      <c r="C72" s="3">
        <v>48.3</v>
      </c>
      <c r="D72" s="3" t="s">
        <v>12</v>
      </c>
      <c r="E72" s="3" t="s">
        <v>12</v>
      </c>
      <c r="F72" s="3" t="s">
        <v>12</v>
      </c>
      <c r="G72" s="3">
        <v>15.7</v>
      </c>
      <c r="H72" s="3" t="s">
        <v>12</v>
      </c>
      <c r="I72" s="3" t="s">
        <v>12</v>
      </c>
      <c r="J72" s="3" t="s">
        <v>12</v>
      </c>
      <c r="K72" s="3">
        <v>15.8</v>
      </c>
      <c r="L72" s="3" t="s">
        <v>12</v>
      </c>
      <c r="M72" s="3" t="s">
        <v>12</v>
      </c>
      <c r="N72" s="3" t="s">
        <v>12</v>
      </c>
      <c r="O72" s="3">
        <v>4.7</v>
      </c>
      <c r="P72" s="3" t="s">
        <v>12</v>
      </c>
      <c r="Q72" s="3" t="s">
        <v>12</v>
      </c>
      <c r="R72" s="3" t="s">
        <v>12</v>
      </c>
      <c r="S72" s="3">
        <v>6.1</v>
      </c>
      <c r="T72" s="3" t="s">
        <v>12</v>
      </c>
      <c r="U72" s="3" t="s">
        <v>12</v>
      </c>
      <c r="V72" s="3" t="s">
        <v>65</v>
      </c>
    </row>
    <row r="73" spans="1:22" x14ac:dyDescent="0.2">
      <c r="A73" s="3" t="s">
        <v>128</v>
      </c>
      <c r="B73" s="4">
        <v>43623</v>
      </c>
      <c r="C73" s="4">
        <v>23930</v>
      </c>
      <c r="D73" s="4">
        <v>6897</v>
      </c>
      <c r="E73" s="4">
        <v>5726</v>
      </c>
      <c r="F73" s="4">
        <v>5103</v>
      </c>
      <c r="G73" s="4">
        <v>3634</v>
      </c>
      <c r="H73" s="4">
        <v>2474</v>
      </c>
      <c r="I73" s="4">
        <v>2345</v>
      </c>
      <c r="J73" s="4">
        <v>2023</v>
      </c>
      <c r="K73" s="4">
        <v>1847</v>
      </c>
      <c r="L73" s="4">
        <v>2014</v>
      </c>
      <c r="M73" s="4">
        <v>2006</v>
      </c>
      <c r="N73" s="4">
        <v>2914</v>
      </c>
      <c r="O73" s="4">
        <v>2861</v>
      </c>
      <c r="P73" s="4">
        <v>2421</v>
      </c>
      <c r="Q73" s="4">
        <v>2067</v>
      </c>
      <c r="R73" s="4">
        <v>1962</v>
      </c>
      <c r="S73" s="4">
        <v>1064</v>
      </c>
      <c r="T73" s="3">
        <v>396.16</v>
      </c>
      <c r="U73" s="3">
        <v>14.6</v>
      </c>
      <c r="V73" s="3" t="s">
        <v>65</v>
      </c>
    </row>
    <row r="74" spans="1:22" x14ac:dyDescent="0.2">
      <c r="A74" s="3" t="s">
        <v>129</v>
      </c>
      <c r="B74" s="4">
        <v>43920</v>
      </c>
      <c r="C74" s="4">
        <v>25844</v>
      </c>
      <c r="D74" s="4">
        <v>8344</v>
      </c>
      <c r="E74" s="4">
        <v>7053</v>
      </c>
      <c r="F74" s="4">
        <v>6352</v>
      </c>
      <c r="G74" s="4">
        <v>4763</v>
      </c>
      <c r="H74" s="4">
        <v>3374</v>
      </c>
      <c r="I74" s="4">
        <v>3363</v>
      </c>
      <c r="J74" s="4">
        <v>3026</v>
      </c>
      <c r="K74" s="4">
        <v>2410</v>
      </c>
      <c r="L74" s="4">
        <v>2545</v>
      </c>
      <c r="M74" s="4">
        <v>2568</v>
      </c>
      <c r="N74" s="4">
        <v>3638</v>
      </c>
      <c r="O74" s="4">
        <v>3557</v>
      </c>
      <c r="P74" s="4">
        <v>2986</v>
      </c>
      <c r="Q74" s="4">
        <v>2624</v>
      </c>
      <c r="R74" s="4">
        <v>2443</v>
      </c>
      <c r="S74" s="4">
        <v>1466</v>
      </c>
      <c r="T74" s="3">
        <v>772.91</v>
      </c>
      <c r="U74" s="3">
        <v>833.05</v>
      </c>
      <c r="V74" s="3" t="s">
        <v>65</v>
      </c>
    </row>
    <row r="75" spans="1:22" x14ac:dyDescent="0.2">
      <c r="A75" s="3" t="s">
        <v>130</v>
      </c>
      <c r="B75" s="3">
        <v>47.02</v>
      </c>
      <c r="C75" s="3">
        <v>23.5</v>
      </c>
      <c r="D75" s="3">
        <v>45.71</v>
      </c>
      <c r="E75" s="3">
        <v>44.19</v>
      </c>
      <c r="F75" s="3">
        <v>41.87</v>
      </c>
      <c r="G75" s="3">
        <v>31.48</v>
      </c>
      <c r="H75" s="3">
        <v>33.11</v>
      </c>
      <c r="I75" s="3">
        <v>32.46</v>
      </c>
      <c r="J75" s="3">
        <v>34.1</v>
      </c>
      <c r="K75" s="3">
        <v>42.98</v>
      </c>
      <c r="L75" s="3">
        <v>36.85</v>
      </c>
      <c r="M75" s="3">
        <v>35.96</v>
      </c>
      <c r="N75" s="3">
        <v>44.39</v>
      </c>
      <c r="O75" s="3">
        <v>46.08</v>
      </c>
      <c r="P75" s="3">
        <v>32.69</v>
      </c>
      <c r="Q75" s="3">
        <v>28.24</v>
      </c>
      <c r="R75" s="3">
        <v>26.17</v>
      </c>
      <c r="S75" s="3">
        <v>44.85</v>
      </c>
      <c r="T75" s="3">
        <v>25.56</v>
      </c>
      <c r="U75" s="3">
        <v>17.649999999999999</v>
      </c>
      <c r="V75" s="3" t="s">
        <v>65</v>
      </c>
    </row>
    <row r="76" spans="1:22" x14ac:dyDescent="0.2">
      <c r="A76" s="3" t="s">
        <v>131</v>
      </c>
      <c r="B76" s="3">
        <v>38.76</v>
      </c>
      <c r="C76" s="3">
        <v>73.11</v>
      </c>
      <c r="D76" s="3">
        <v>57.49</v>
      </c>
      <c r="E76" s="3">
        <v>51.92</v>
      </c>
      <c r="F76" s="3">
        <v>51.5</v>
      </c>
      <c r="G76" s="3">
        <v>51.54</v>
      </c>
      <c r="H76" s="3">
        <v>53.77</v>
      </c>
      <c r="I76" s="3">
        <v>42.99</v>
      </c>
      <c r="J76" s="3">
        <v>49.57</v>
      </c>
      <c r="K76" s="3">
        <v>56.55</v>
      </c>
      <c r="L76" s="3">
        <v>57.74</v>
      </c>
      <c r="M76" s="3">
        <v>50.04</v>
      </c>
      <c r="N76" s="3">
        <v>54.27</v>
      </c>
      <c r="O76" s="3">
        <v>56.04</v>
      </c>
      <c r="P76" s="3">
        <v>47.76</v>
      </c>
      <c r="Q76" s="3">
        <v>50.94</v>
      </c>
      <c r="R76" s="3">
        <v>44.82</v>
      </c>
      <c r="S76" s="3">
        <v>49.52</v>
      </c>
      <c r="T76" s="3">
        <v>44.18</v>
      </c>
      <c r="U76" s="3">
        <v>40.81</v>
      </c>
      <c r="V76" s="3" t="s">
        <v>65</v>
      </c>
    </row>
    <row r="77" spans="1:22" ht="20" customHeight="1" x14ac:dyDescent="0.2">
      <c r="A77" s="3" t="s">
        <v>393</v>
      </c>
      <c r="B77" s="3">
        <v>0.53</v>
      </c>
      <c r="C77" s="3">
        <v>0.52</v>
      </c>
      <c r="D77" s="3">
        <v>0.51</v>
      </c>
      <c r="E77" s="3">
        <v>145.12</v>
      </c>
      <c r="F77" s="3">
        <v>0.49</v>
      </c>
      <c r="G77" s="3">
        <v>0.48</v>
      </c>
      <c r="H77" s="3">
        <v>0.48</v>
      </c>
      <c r="I77" s="3">
        <v>0.47</v>
      </c>
      <c r="J77" s="3">
        <v>0.46</v>
      </c>
      <c r="K77" s="3">
        <v>0.45</v>
      </c>
      <c r="L77" s="3" t="s">
        <v>12</v>
      </c>
      <c r="M77" s="3" t="s">
        <v>12</v>
      </c>
      <c r="N77" s="3" t="s">
        <v>12</v>
      </c>
      <c r="O77" s="3" t="s">
        <v>12</v>
      </c>
      <c r="P77" s="3" t="s">
        <v>12</v>
      </c>
      <c r="Q77" s="3" t="s">
        <v>12</v>
      </c>
      <c r="R77" s="3" t="s">
        <v>12</v>
      </c>
      <c r="S77" s="3" t="s">
        <v>12</v>
      </c>
      <c r="T77" s="3" t="s">
        <v>12</v>
      </c>
      <c r="U77" s="3" t="s">
        <v>12</v>
      </c>
      <c r="V77" s="3" t="s">
        <v>65</v>
      </c>
    </row>
    <row r="78" spans="1:22" x14ac:dyDescent="0.2">
      <c r="A78" s="3" t="s">
        <v>132</v>
      </c>
      <c r="B78" s="3" t="s">
        <v>12</v>
      </c>
      <c r="C78" s="3">
        <v>10.38</v>
      </c>
      <c r="D78" s="3" t="s">
        <v>12</v>
      </c>
      <c r="E78" s="3" t="s">
        <v>12</v>
      </c>
      <c r="F78" s="3" t="s">
        <v>12</v>
      </c>
      <c r="G78" s="3">
        <v>10.41</v>
      </c>
      <c r="H78" s="3" t="s">
        <v>12</v>
      </c>
      <c r="I78" s="3" t="s">
        <v>12</v>
      </c>
      <c r="J78" s="3" t="s">
        <v>12</v>
      </c>
      <c r="K78" s="3" t="s">
        <v>12</v>
      </c>
      <c r="L78" s="3" t="s">
        <v>12</v>
      </c>
      <c r="M78" s="3" t="s">
        <v>12</v>
      </c>
      <c r="N78" s="3" t="s">
        <v>12</v>
      </c>
      <c r="O78" s="3" t="s">
        <v>12</v>
      </c>
      <c r="P78" s="3">
        <v>9.76</v>
      </c>
      <c r="Q78" s="3">
        <v>10</v>
      </c>
      <c r="R78" s="3">
        <v>10.65</v>
      </c>
      <c r="S78" s="3" t="s">
        <v>12</v>
      </c>
      <c r="T78" s="3">
        <v>10.11</v>
      </c>
      <c r="U78" s="3">
        <v>10.02</v>
      </c>
      <c r="V78" s="3" t="s">
        <v>65</v>
      </c>
    </row>
    <row r="79" spans="1:22" x14ac:dyDescent="0.2">
      <c r="A79" s="3" t="s">
        <v>196</v>
      </c>
      <c r="B79" s="3">
        <v>6.7</v>
      </c>
      <c r="C79" s="3">
        <v>9.5</v>
      </c>
      <c r="D79" s="3" t="s">
        <v>12</v>
      </c>
      <c r="E79" s="3" t="s">
        <v>12</v>
      </c>
      <c r="F79" s="3" t="s">
        <v>12</v>
      </c>
      <c r="G79" s="3" t="s">
        <v>12</v>
      </c>
      <c r="H79" s="3" t="s">
        <v>12</v>
      </c>
      <c r="I79" s="3" t="s">
        <v>12</v>
      </c>
      <c r="J79" s="3">
        <v>16.3</v>
      </c>
      <c r="K79" s="3" t="s">
        <v>12</v>
      </c>
      <c r="L79" s="3" t="s">
        <v>12</v>
      </c>
      <c r="M79" s="3" t="s">
        <v>12</v>
      </c>
      <c r="N79" s="3" t="s">
        <v>12</v>
      </c>
      <c r="O79" s="3" t="s">
        <v>12</v>
      </c>
      <c r="P79" s="3">
        <v>3</v>
      </c>
      <c r="Q79" s="3">
        <v>3</v>
      </c>
      <c r="R79" s="3">
        <v>3</v>
      </c>
      <c r="S79" s="3" t="s">
        <v>12</v>
      </c>
      <c r="T79" s="3">
        <v>3</v>
      </c>
      <c r="U79" s="3">
        <v>3.8</v>
      </c>
      <c r="V79" s="3" t="s">
        <v>65</v>
      </c>
    </row>
    <row r="80" spans="1:22" x14ac:dyDescent="0.2">
      <c r="A80" s="3" t="s">
        <v>431</v>
      </c>
      <c r="B80" s="3">
        <v>215.69</v>
      </c>
      <c r="C80" s="3">
        <v>237.97</v>
      </c>
      <c r="D80" s="3">
        <v>184.4</v>
      </c>
      <c r="E80" s="3">
        <v>204.84</v>
      </c>
      <c r="F80" s="3">
        <v>215.96</v>
      </c>
      <c r="G80" s="3">
        <v>228.16</v>
      </c>
      <c r="H80" s="3">
        <v>179.17</v>
      </c>
      <c r="I80" s="3">
        <v>195.82</v>
      </c>
      <c r="J80" s="3">
        <v>211.77</v>
      </c>
      <c r="K80" s="3">
        <v>217.43</v>
      </c>
      <c r="L80" s="3">
        <v>165.93</v>
      </c>
      <c r="M80" s="3">
        <v>188.1</v>
      </c>
      <c r="N80" s="3">
        <v>206.22</v>
      </c>
      <c r="O80" s="3">
        <v>209.86</v>
      </c>
      <c r="P80" s="3">
        <v>160.69999999999999</v>
      </c>
      <c r="Q80" s="3">
        <v>182.82</v>
      </c>
      <c r="R80" s="3">
        <v>198.98</v>
      </c>
      <c r="S80" s="3">
        <v>191.25</v>
      </c>
      <c r="T80" s="3">
        <v>160.85</v>
      </c>
      <c r="U80" s="3">
        <v>167.64</v>
      </c>
      <c r="V80" s="3" t="s">
        <v>65</v>
      </c>
    </row>
    <row r="81" spans="1:22" x14ac:dyDescent="0.2">
      <c r="A81" s="3" t="s">
        <v>133</v>
      </c>
      <c r="B81" s="3" t="s">
        <v>12</v>
      </c>
      <c r="C81" s="3">
        <v>0.4</v>
      </c>
      <c r="D81" s="3" t="s">
        <v>12</v>
      </c>
      <c r="E81" s="3" t="s">
        <v>12</v>
      </c>
      <c r="F81" s="3" t="s">
        <v>12</v>
      </c>
      <c r="G81" s="3">
        <v>1.2</v>
      </c>
      <c r="H81" s="3">
        <v>1.2</v>
      </c>
      <c r="I81" s="3">
        <v>1.2</v>
      </c>
      <c r="J81" s="3">
        <v>0.2</v>
      </c>
      <c r="K81" s="3" t="s">
        <v>12</v>
      </c>
      <c r="L81" s="3" t="s">
        <v>12</v>
      </c>
      <c r="M81" s="3" t="s">
        <v>12</v>
      </c>
      <c r="N81" s="3" t="s">
        <v>12</v>
      </c>
      <c r="O81" s="3" t="s">
        <v>12</v>
      </c>
      <c r="P81" s="3" t="s">
        <v>12</v>
      </c>
      <c r="Q81" s="3" t="s">
        <v>12</v>
      </c>
      <c r="R81" s="3" t="s">
        <v>12</v>
      </c>
      <c r="S81" s="3" t="s">
        <v>12</v>
      </c>
      <c r="T81" s="3" t="s">
        <v>12</v>
      </c>
      <c r="U81" s="3" t="s">
        <v>12</v>
      </c>
      <c r="V81" s="3" t="s">
        <v>65</v>
      </c>
    </row>
    <row r="82" spans="1:22" x14ac:dyDescent="0.2">
      <c r="A82" s="3" t="s">
        <v>134</v>
      </c>
      <c r="B82" s="3">
        <v>308.69</v>
      </c>
      <c r="C82" s="3">
        <v>355.38</v>
      </c>
      <c r="D82" s="3">
        <v>288.11</v>
      </c>
      <c r="E82" s="3">
        <v>446.06</v>
      </c>
      <c r="F82" s="3">
        <v>309.81</v>
      </c>
      <c r="G82" s="3">
        <v>323.27</v>
      </c>
      <c r="H82" s="3">
        <v>267.72000000000003</v>
      </c>
      <c r="I82" s="3">
        <v>272.93</v>
      </c>
      <c r="J82" s="3">
        <v>312.39999999999998</v>
      </c>
      <c r="K82" s="3">
        <v>317.39999999999998</v>
      </c>
      <c r="L82" s="3">
        <v>260.52</v>
      </c>
      <c r="M82" s="3">
        <v>274.10000000000002</v>
      </c>
      <c r="N82" s="3">
        <v>304.88</v>
      </c>
      <c r="O82" s="3">
        <v>311.99</v>
      </c>
      <c r="P82" s="3">
        <v>253.91</v>
      </c>
      <c r="Q82" s="3">
        <v>275</v>
      </c>
      <c r="R82" s="3">
        <v>283.62</v>
      </c>
      <c r="S82" s="3">
        <v>285.62</v>
      </c>
      <c r="T82" s="3">
        <v>243.69</v>
      </c>
      <c r="U82" s="3">
        <v>239.92</v>
      </c>
      <c r="V82" s="3" t="s">
        <v>65</v>
      </c>
    </row>
    <row r="83" spans="1:22" x14ac:dyDescent="0.2">
      <c r="A83" s="3" t="s">
        <v>135</v>
      </c>
      <c r="B83" s="4">
        <v>8140</v>
      </c>
      <c r="C83" s="4">
        <v>7191</v>
      </c>
      <c r="D83" s="4">
        <v>4212</v>
      </c>
      <c r="E83" s="4">
        <v>3703</v>
      </c>
      <c r="F83" s="4">
        <v>3559</v>
      </c>
      <c r="G83" s="4">
        <v>2182</v>
      </c>
      <c r="H83" s="4">
        <v>2180</v>
      </c>
      <c r="I83" s="4">
        <v>2178</v>
      </c>
      <c r="J83" s="4">
        <v>2176</v>
      </c>
      <c r="K83" s="4">
        <v>2379</v>
      </c>
      <c r="L83" s="4">
        <v>2377</v>
      </c>
      <c r="M83" s="4">
        <v>2375</v>
      </c>
      <c r="N83" s="4">
        <v>2362</v>
      </c>
      <c r="O83" s="4">
        <v>2155</v>
      </c>
      <c r="P83" s="4">
        <v>2153</v>
      </c>
      <c r="Q83" s="4">
        <v>2151</v>
      </c>
      <c r="R83" s="4">
        <v>1662</v>
      </c>
      <c r="S83" s="3">
        <v>486.37</v>
      </c>
      <c r="T83" s="3" t="s">
        <v>12</v>
      </c>
      <c r="U83" s="3" t="s">
        <v>12</v>
      </c>
      <c r="V83" s="3" t="s">
        <v>65</v>
      </c>
    </row>
    <row r="84" spans="1:22" x14ac:dyDescent="0.2">
      <c r="A84" s="3" t="s">
        <v>136</v>
      </c>
      <c r="B84" s="3">
        <v>53.69</v>
      </c>
      <c r="C84" s="3">
        <v>56.4</v>
      </c>
      <c r="D84" s="3">
        <v>57.5</v>
      </c>
      <c r="E84" s="3">
        <v>56.54</v>
      </c>
      <c r="F84" s="3">
        <v>58.43</v>
      </c>
      <c r="G84" s="3">
        <v>61.09</v>
      </c>
      <c r="H84" s="3">
        <v>59.72</v>
      </c>
      <c r="I84" s="3">
        <v>63.81</v>
      </c>
      <c r="J84" s="3">
        <v>65.36</v>
      </c>
      <c r="K84" s="3">
        <v>67.34</v>
      </c>
      <c r="L84" s="3">
        <v>69.28</v>
      </c>
      <c r="M84" s="3">
        <v>72.16</v>
      </c>
      <c r="N84" s="3">
        <v>73.959999999999994</v>
      </c>
      <c r="O84" s="3">
        <v>76.61</v>
      </c>
      <c r="P84" s="3">
        <v>78.94</v>
      </c>
      <c r="Q84" s="3">
        <v>80.900000000000006</v>
      </c>
      <c r="R84" s="3">
        <v>81.849999999999994</v>
      </c>
      <c r="S84" s="3">
        <v>84.33</v>
      </c>
      <c r="T84" s="3">
        <v>95.59</v>
      </c>
      <c r="U84" s="3">
        <v>98.28</v>
      </c>
      <c r="V84" s="3" t="s">
        <v>65</v>
      </c>
    </row>
    <row r="85" spans="1:22" x14ac:dyDescent="0.2">
      <c r="A85" s="3" t="s">
        <v>518</v>
      </c>
      <c r="B85" s="3">
        <v>3.98</v>
      </c>
      <c r="C85" s="3">
        <v>4.97</v>
      </c>
      <c r="D85" s="3">
        <v>6.34</v>
      </c>
      <c r="E85" s="3">
        <v>5.96</v>
      </c>
      <c r="F85" s="3">
        <v>6.49</v>
      </c>
      <c r="G85" s="3">
        <v>8.52</v>
      </c>
      <c r="H85" s="3">
        <v>7.64</v>
      </c>
      <c r="I85" s="3">
        <v>11.24</v>
      </c>
      <c r="J85" s="3">
        <v>11.65</v>
      </c>
      <c r="K85" s="3">
        <v>12.76</v>
      </c>
      <c r="L85" s="3">
        <v>8.75</v>
      </c>
      <c r="M85" s="3">
        <v>8.5</v>
      </c>
      <c r="N85" s="3">
        <v>8.24</v>
      </c>
      <c r="O85" s="3">
        <v>8.09</v>
      </c>
      <c r="P85" s="3">
        <v>8.3000000000000007</v>
      </c>
      <c r="Q85" s="3">
        <v>7.26</v>
      </c>
      <c r="R85" s="3">
        <v>14.52</v>
      </c>
      <c r="S85" s="3">
        <v>14.66</v>
      </c>
      <c r="T85" s="3">
        <v>11.66</v>
      </c>
      <c r="U85" s="3">
        <v>5.91</v>
      </c>
      <c r="V85" s="3" t="s">
        <v>65</v>
      </c>
    </row>
    <row r="86" spans="1:22" x14ac:dyDescent="0.2">
      <c r="A86" s="3" t="s">
        <v>394</v>
      </c>
      <c r="B86" s="4">
        <v>1883</v>
      </c>
      <c r="C86" s="3">
        <v>0.41</v>
      </c>
      <c r="D86" s="3">
        <v>0.36</v>
      </c>
      <c r="E86" s="3">
        <v>0.36</v>
      </c>
      <c r="F86" s="3">
        <v>0.36</v>
      </c>
      <c r="G86" s="3">
        <v>0.36</v>
      </c>
      <c r="H86" s="3">
        <v>0.2</v>
      </c>
      <c r="I86" s="3">
        <v>0.2</v>
      </c>
      <c r="J86" s="3">
        <v>0.2</v>
      </c>
      <c r="K86" s="3">
        <v>0.2</v>
      </c>
      <c r="L86" s="3" t="s">
        <v>12</v>
      </c>
      <c r="M86" s="3">
        <v>0.11</v>
      </c>
      <c r="N86" s="3">
        <v>0.11</v>
      </c>
      <c r="O86" s="3">
        <v>0.11</v>
      </c>
      <c r="P86" s="3">
        <v>1.81</v>
      </c>
      <c r="Q86" s="3">
        <v>1.81</v>
      </c>
      <c r="R86" s="3">
        <v>1.81</v>
      </c>
      <c r="S86" s="3">
        <v>8.2100000000000009</v>
      </c>
      <c r="T86" s="3">
        <v>0.02</v>
      </c>
      <c r="U86" s="3">
        <v>0.02</v>
      </c>
      <c r="V86" s="3" t="s">
        <v>65</v>
      </c>
    </row>
    <row r="87" spans="1:22" x14ac:dyDescent="0.2">
      <c r="A87" s="3" t="s">
        <v>137</v>
      </c>
      <c r="B87" s="3">
        <v>4.4400000000000004</v>
      </c>
      <c r="C87" s="3">
        <v>5.38</v>
      </c>
      <c r="D87" s="3">
        <v>5.68</v>
      </c>
      <c r="E87" s="3">
        <v>5.97</v>
      </c>
      <c r="F87" s="3">
        <v>17.55</v>
      </c>
      <c r="G87" s="3">
        <v>22.21</v>
      </c>
      <c r="H87" s="3">
        <v>18.23</v>
      </c>
      <c r="I87" s="3">
        <v>17.829999999999998</v>
      </c>
      <c r="J87" s="3">
        <v>17.68</v>
      </c>
      <c r="K87" s="3">
        <v>17.12</v>
      </c>
      <c r="L87" s="3">
        <v>30.09</v>
      </c>
      <c r="M87" s="3">
        <v>25.71</v>
      </c>
      <c r="N87" s="3">
        <v>26.35</v>
      </c>
      <c r="O87" s="3">
        <v>26.22</v>
      </c>
      <c r="P87" s="3">
        <v>28.93</v>
      </c>
      <c r="Q87" s="3">
        <v>31.04</v>
      </c>
      <c r="R87" s="3">
        <v>34.33</v>
      </c>
      <c r="S87" s="3">
        <v>33.380000000000003</v>
      </c>
      <c r="T87" s="3">
        <v>32.65</v>
      </c>
      <c r="U87" s="3">
        <v>30.45</v>
      </c>
      <c r="V87" s="3" t="s">
        <v>65</v>
      </c>
    </row>
    <row r="88" spans="1:22" x14ac:dyDescent="0.2">
      <c r="A88" s="3" t="s">
        <v>138</v>
      </c>
      <c r="B88" s="4">
        <v>10394</v>
      </c>
      <c r="C88" s="4">
        <v>7614</v>
      </c>
      <c r="D88" s="4">
        <v>4570</v>
      </c>
      <c r="E88" s="4">
        <v>4218</v>
      </c>
      <c r="F88" s="4">
        <v>3951</v>
      </c>
      <c r="G88" s="4">
        <v>2598</v>
      </c>
      <c r="H88" s="4">
        <v>2534</v>
      </c>
      <c r="I88" s="4">
        <v>2544</v>
      </c>
      <c r="J88" s="4">
        <v>2583</v>
      </c>
      <c r="K88" s="4">
        <v>2793</v>
      </c>
      <c r="L88" s="4">
        <v>2746</v>
      </c>
      <c r="M88" s="4">
        <v>2755</v>
      </c>
      <c r="N88" s="4">
        <v>2775</v>
      </c>
      <c r="O88" s="4">
        <v>2578</v>
      </c>
      <c r="P88" s="4">
        <v>2525</v>
      </c>
      <c r="Q88" s="4">
        <v>2547</v>
      </c>
      <c r="R88" s="4">
        <v>2078</v>
      </c>
      <c r="S88" s="3">
        <v>912.57</v>
      </c>
      <c r="T88" s="3">
        <v>383.61</v>
      </c>
      <c r="U88" s="3">
        <v>374.59</v>
      </c>
      <c r="V88" s="3" t="s">
        <v>65</v>
      </c>
    </row>
    <row r="89" spans="1:22" x14ac:dyDescent="0.2">
      <c r="A89" s="3" t="s">
        <v>139</v>
      </c>
      <c r="B89" s="3">
        <v>0.27</v>
      </c>
      <c r="C89" s="3">
        <v>0.25</v>
      </c>
      <c r="D89" s="3">
        <v>0.21</v>
      </c>
      <c r="E89" s="3">
        <v>0.03</v>
      </c>
      <c r="F89" s="3">
        <v>0.03</v>
      </c>
      <c r="G89" s="3">
        <v>0.03</v>
      </c>
      <c r="H89" s="3">
        <v>0.02</v>
      </c>
      <c r="I89" s="3">
        <v>0.02</v>
      </c>
      <c r="J89" s="3">
        <v>0.02</v>
      </c>
      <c r="K89" s="3">
        <v>0.02</v>
      </c>
      <c r="L89" s="3">
        <v>0.02</v>
      </c>
      <c r="M89" s="3">
        <v>0.02</v>
      </c>
      <c r="N89" s="3">
        <v>0.02</v>
      </c>
      <c r="O89" s="3">
        <v>0.02</v>
      </c>
      <c r="P89" s="3">
        <v>0.02</v>
      </c>
      <c r="Q89" s="3">
        <v>0.02</v>
      </c>
      <c r="R89" s="3">
        <v>0.02</v>
      </c>
      <c r="S89" s="3">
        <v>0.02</v>
      </c>
      <c r="T89" s="3">
        <v>0.02</v>
      </c>
      <c r="U89" s="3">
        <v>0.02</v>
      </c>
      <c r="V89" s="3" t="s">
        <v>65</v>
      </c>
    </row>
    <row r="90" spans="1:22" x14ac:dyDescent="0.2">
      <c r="A90" s="3" t="s">
        <v>140</v>
      </c>
      <c r="B90" s="4">
        <v>25881</v>
      </c>
      <c r="C90" s="4">
        <v>20412</v>
      </c>
      <c r="D90" s="4">
        <v>6060</v>
      </c>
      <c r="E90" s="4">
        <v>4785</v>
      </c>
      <c r="F90" s="4">
        <v>4248</v>
      </c>
      <c r="G90" s="4">
        <v>3958</v>
      </c>
      <c r="H90" s="4">
        <v>2726</v>
      </c>
      <c r="I90" s="4">
        <v>2559</v>
      </c>
      <c r="J90" s="4">
        <v>2206</v>
      </c>
      <c r="K90" s="4">
        <v>1841</v>
      </c>
      <c r="L90" s="4">
        <v>1779</v>
      </c>
      <c r="M90" s="4">
        <v>1760</v>
      </c>
      <c r="N90" s="4">
        <v>1744</v>
      </c>
      <c r="O90" s="4">
        <v>1727</v>
      </c>
      <c r="P90" s="4">
        <v>1119</v>
      </c>
      <c r="Q90" s="3">
        <v>697.27</v>
      </c>
      <c r="R90" s="3">
        <v>685.94</v>
      </c>
      <c r="S90" s="3">
        <v>763.05</v>
      </c>
      <c r="T90" s="3">
        <v>604.97</v>
      </c>
      <c r="U90" s="3">
        <v>600.85</v>
      </c>
      <c r="V90" s="3" t="s">
        <v>65</v>
      </c>
    </row>
    <row r="91" spans="1:22" x14ac:dyDescent="0.2">
      <c r="A91" s="3" t="s">
        <v>13</v>
      </c>
      <c r="B91" s="4">
        <v>6352</v>
      </c>
      <c r="C91" s="4">
        <v>-2167</v>
      </c>
      <c r="D91" s="4">
        <v>-1495</v>
      </c>
      <c r="E91" s="4">
        <v>-1155</v>
      </c>
      <c r="F91" s="4">
        <v>-1052</v>
      </c>
      <c r="G91" s="3">
        <v>-999.23</v>
      </c>
      <c r="H91" s="4">
        <v>-1088</v>
      </c>
      <c r="I91" s="3">
        <v>-944.92</v>
      </c>
      <c r="J91" s="3">
        <v>-967.16</v>
      </c>
      <c r="K91" s="4">
        <v>-1428</v>
      </c>
      <c r="L91" s="4">
        <v>-1179</v>
      </c>
      <c r="M91" s="4">
        <v>-1152</v>
      </c>
      <c r="N91" s="3">
        <v>-89.31</v>
      </c>
      <c r="O91" s="3">
        <v>41.44</v>
      </c>
      <c r="P91" s="3">
        <v>131.41999999999999</v>
      </c>
      <c r="Q91" s="3">
        <v>167.56</v>
      </c>
      <c r="R91" s="3">
        <v>466.9</v>
      </c>
      <c r="S91" s="3">
        <v>575.97</v>
      </c>
      <c r="T91" s="3">
        <v>573.29999999999995</v>
      </c>
      <c r="U91" s="3">
        <v>587.53</v>
      </c>
      <c r="V91" s="3" t="s">
        <v>65</v>
      </c>
    </row>
    <row r="92" spans="1:22" x14ac:dyDescent="0.2">
      <c r="A92" s="3" t="s">
        <v>426</v>
      </c>
      <c r="B92" s="3" t="s">
        <v>12</v>
      </c>
      <c r="C92" s="3" t="s">
        <v>12</v>
      </c>
      <c r="D92" s="3">
        <v>-782.1</v>
      </c>
      <c r="E92" s="3">
        <v>-782.1</v>
      </c>
      <c r="F92" s="3">
        <v>-782.1</v>
      </c>
      <c r="G92" s="3">
        <v>-782.1</v>
      </c>
      <c r="H92" s="3">
        <v>-782.1</v>
      </c>
      <c r="I92" s="3">
        <v>-782.1</v>
      </c>
      <c r="J92" s="3">
        <v>-782.1</v>
      </c>
      <c r="K92" s="3">
        <v>-782.1</v>
      </c>
      <c r="L92" s="3">
        <v>-782.1</v>
      </c>
      <c r="M92" s="3">
        <v>-782.1</v>
      </c>
      <c r="N92" s="3">
        <v>-782.1</v>
      </c>
      <c r="O92" s="3">
        <v>-782.1</v>
      </c>
      <c r="P92" s="3">
        <v>-782.1</v>
      </c>
      <c r="Q92" s="3">
        <v>-782.1</v>
      </c>
      <c r="R92" s="3">
        <v>-782.1</v>
      </c>
      <c r="S92" s="3">
        <v>-782.1</v>
      </c>
      <c r="T92" s="3">
        <v>-782.1</v>
      </c>
      <c r="U92" s="3">
        <v>-720.76</v>
      </c>
      <c r="V92" s="3" t="s">
        <v>65</v>
      </c>
    </row>
    <row r="93" spans="1:22" x14ac:dyDescent="0.2">
      <c r="A93" s="3" t="s">
        <v>141</v>
      </c>
      <c r="B93" s="3">
        <v>-11.97</v>
      </c>
      <c r="C93" s="3">
        <v>-15.38</v>
      </c>
      <c r="D93" s="3">
        <v>-9.58</v>
      </c>
      <c r="E93" s="3">
        <v>-13.55</v>
      </c>
      <c r="F93" s="3">
        <v>-13.17</v>
      </c>
      <c r="G93" s="3">
        <v>-11.44</v>
      </c>
      <c r="H93" s="3">
        <v>-15.36</v>
      </c>
      <c r="I93" s="3">
        <v>-13.15</v>
      </c>
      <c r="J93" s="3">
        <v>-13.06</v>
      </c>
      <c r="K93" s="3">
        <v>-13.8</v>
      </c>
      <c r="L93" s="3">
        <v>-18.18</v>
      </c>
      <c r="M93" s="3">
        <v>-13.67</v>
      </c>
      <c r="N93" s="3">
        <v>-9.5500000000000007</v>
      </c>
      <c r="O93" s="3">
        <v>-7.54</v>
      </c>
      <c r="P93" s="3">
        <v>-6.78</v>
      </c>
      <c r="Q93" s="3">
        <v>-5.32</v>
      </c>
      <c r="R93" s="3">
        <v>-5.72</v>
      </c>
      <c r="S93" s="3">
        <v>-3.89</v>
      </c>
      <c r="T93" s="3">
        <v>-6.9</v>
      </c>
      <c r="U93" s="3">
        <v>-9.19</v>
      </c>
      <c r="V93" s="3" t="s">
        <v>65</v>
      </c>
    </row>
    <row r="94" spans="1:22" x14ac:dyDescent="0.2">
      <c r="A94" s="3" t="s">
        <v>519</v>
      </c>
      <c r="B94" s="4">
        <v>32221</v>
      </c>
      <c r="C94" s="4">
        <v>18230</v>
      </c>
      <c r="D94" s="4">
        <v>3774</v>
      </c>
      <c r="E94" s="4">
        <v>2835</v>
      </c>
      <c r="F94" s="4">
        <v>2400</v>
      </c>
      <c r="G94" s="4">
        <v>2165</v>
      </c>
      <c r="H94" s="3">
        <v>840.4</v>
      </c>
      <c r="I94" s="3">
        <v>819.12</v>
      </c>
      <c r="J94" s="3">
        <v>443.21</v>
      </c>
      <c r="K94" s="3">
        <v>-383.12</v>
      </c>
      <c r="L94" s="3">
        <v>-200.29</v>
      </c>
      <c r="M94" s="3">
        <v>-187.07</v>
      </c>
      <c r="N94" s="3">
        <v>863</v>
      </c>
      <c r="O94" s="3">
        <v>978.96</v>
      </c>
      <c r="P94" s="3">
        <v>461.31</v>
      </c>
      <c r="Q94" s="3">
        <v>77.42</v>
      </c>
      <c r="R94" s="3">
        <v>365.04</v>
      </c>
      <c r="S94" s="3">
        <v>553.04999999999995</v>
      </c>
      <c r="T94" s="3">
        <v>389.29</v>
      </c>
      <c r="U94" s="3">
        <v>458.46</v>
      </c>
      <c r="V94" s="3" t="s">
        <v>65</v>
      </c>
    </row>
    <row r="95" spans="1:22" x14ac:dyDescent="0.2">
      <c r="A95" s="3" t="s">
        <v>14</v>
      </c>
      <c r="B95" s="4">
        <v>33526</v>
      </c>
      <c r="C95" s="4">
        <v>18230</v>
      </c>
      <c r="D95" s="4">
        <v>3774</v>
      </c>
      <c r="E95" s="4">
        <v>2835</v>
      </c>
      <c r="F95" s="4">
        <v>2400</v>
      </c>
      <c r="G95" s="4">
        <v>2165</v>
      </c>
      <c r="H95" s="3">
        <v>840.4</v>
      </c>
      <c r="I95" s="3">
        <v>819.12</v>
      </c>
      <c r="J95" s="3">
        <v>443.21</v>
      </c>
      <c r="K95" s="3">
        <v>-383.12</v>
      </c>
      <c r="L95" s="3">
        <v>-200.29</v>
      </c>
      <c r="M95" s="3">
        <v>-187.07</v>
      </c>
      <c r="N95" s="3">
        <v>863</v>
      </c>
      <c r="O95" s="3">
        <v>978.96</v>
      </c>
      <c r="P95" s="3">
        <v>461.31</v>
      </c>
      <c r="Q95" s="3">
        <v>77.42</v>
      </c>
      <c r="R95" s="3">
        <v>365.04</v>
      </c>
      <c r="S95" s="3">
        <v>553.04999999999995</v>
      </c>
      <c r="T95" s="3">
        <v>389.29</v>
      </c>
      <c r="U95" s="3">
        <v>458.46</v>
      </c>
      <c r="V95" s="3" t="s">
        <v>65</v>
      </c>
    </row>
    <row r="96" spans="1:22" x14ac:dyDescent="0.2">
      <c r="A96" s="3" t="s">
        <v>142</v>
      </c>
      <c r="B96" s="4">
        <v>43920</v>
      </c>
      <c r="C96" s="4">
        <v>25844</v>
      </c>
      <c r="D96" s="4">
        <v>8344</v>
      </c>
      <c r="E96" s="4">
        <v>7053</v>
      </c>
      <c r="F96" s="4">
        <v>6352</v>
      </c>
      <c r="G96" s="4">
        <v>4763</v>
      </c>
      <c r="H96" s="4">
        <v>3374</v>
      </c>
      <c r="I96" s="4">
        <v>3363</v>
      </c>
      <c r="J96" s="4">
        <v>3026</v>
      </c>
      <c r="K96" s="4">
        <v>2410</v>
      </c>
      <c r="L96" s="4">
        <v>2545</v>
      </c>
      <c r="M96" s="4">
        <v>2568</v>
      </c>
      <c r="N96" s="4">
        <v>3638</v>
      </c>
      <c r="O96" s="4">
        <v>3557</v>
      </c>
      <c r="P96" s="4">
        <v>2986</v>
      </c>
      <c r="Q96" s="4">
        <v>2624</v>
      </c>
      <c r="R96" s="4">
        <v>2443</v>
      </c>
      <c r="S96" s="4">
        <v>1466</v>
      </c>
      <c r="T96" s="3">
        <v>772.91</v>
      </c>
      <c r="U96" s="3">
        <v>833.05</v>
      </c>
      <c r="V96" s="3" t="s">
        <v>65</v>
      </c>
    </row>
    <row r="97" spans="1:22" x14ac:dyDescent="0.2">
      <c r="A97" s="3" t="s">
        <v>7</v>
      </c>
      <c r="B97" s="4">
        <v>8194</v>
      </c>
      <c r="C97" s="4">
        <v>7258</v>
      </c>
      <c r="D97" s="4">
        <v>4270</v>
      </c>
      <c r="E97" s="4">
        <v>3905</v>
      </c>
      <c r="F97" s="4">
        <v>3618</v>
      </c>
      <c r="G97" s="4">
        <v>2254</v>
      </c>
      <c r="H97" s="4">
        <v>2240</v>
      </c>
      <c r="I97" s="4">
        <v>2242</v>
      </c>
      <c r="J97" s="4">
        <v>2242</v>
      </c>
      <c r="K97" s="4">
        <v>2446</v>
      </c>
      <c r="L97" s="4">
        <v>2446</v>
      </c>
      <c r="M97" s="4">
        <v>2447</v>
      </c>
      <c r="N97" s="4">
        <v>2436</v>
      </c>
      <c r="O97" s="4">
        <v>2232</v>
      </c>
      <c r="P97" s="4">
        <v>2242</v>
      </c>
      <c r="Q97" s="4">
        <v>2242</v>
      </c>
      <c r="R97" s="4">
        <v>1754</v>
      </c>
      <c r="S97" s="3">
        <v>570.69000000000005</v>
      </c>
      <c r="T97" s="3">
        <v>105.7</v>
      </c>
      <c r="U97" s="3">
        <v>108.3</v>
      </c>
      <c r="V97" s="3" t="s">
        <v>65</v>
      </c>
    </row>
    <row r="98" spans="1:22" x14ac:dyDescent="0.2">
      <c r="A98" s="3" t="s">
        <v>15</v>
      </c>
      <c r="B98" s="4">
        <v>-8134</v>
      </c>
      <c r="C98" s="4">
        <v>-7220</v>
      </c>
      <c r="D98" s="4">
        <v>-4224</v>
      </c>
      <c r="E98" s="4">
        <v>-3838</v>
      </c>
      <c r="F98" s="4">
        <v>-3536</v>
      </c>
      <c r="G98" s="4">
        <v>-2207</v>
      </c>
      <c r="H98" s="4">
        <v>-2195</v>
      </c>
      <c r="I98" s="4">
        <v>-2176</v>
      </c>
      <c r="J98" s="4">
        <v>-2147</v>
      </c>
      <c r="K98" s="4">
        <v>-2403</v>
      </c>
      <c r="L98" s="4">
        <v>-2386</v>
      </c>
      <c r="M98" s="4">
        <v>-2378</v>
      </c>
      <c r="N98" s="4">
        <v>-2343</v>
      </c>
      <c r="O98" s="4">
        <v>-2168</v>
      </c>
      <c r="P98" s="4">
        <v>-2185</v>
      </c>
      <c r="Q98" s="4">
        <v>-2185</v>
      </c>
      <c r="R98" s="4">
        <v>-1672</v>
      </c>
      <c r="S98" s="3">
        <v>-511.02</v>
      </c>
      <c r="T98" s="3">
        <v>-53.05</v>
      </c>
      <c r="U98" s="3">
        <v>422.57</v>
      </c>
      <c r="V98" s="3" t="s">
        <v>65</v>
      </c>
    </row>
    <row r="99" spans="1:22" x14ac:dyDescent="0.2">
      <c r="A99" s="3" t="s">
        <v>506</v>
      </c>
      <c r="B99" s="3" t="s">
        <v>12</v>
      </c>
      <c r="C99" s="3" t="s">
        <v>12</v>
      </c>
      <c r="D99" s="3" t="s">
        <v>12</v>
      </c>
      <c r="E99" s="3" t="s">
        <v>12</v>
      </c>
      <c r="F99" s="3" t="s">
        <v>12</v>
      </c>
      <c r="G99" s="3" t="s">
        <v>12</v>
      </c>
      <c r="H99" s="3" t="s">
        <v>12</v>
      </c>
      <c r="I99" s="3" t="s">
        <v>12</v>
      </c>
      <c r="J99" s="3" t="s">
        <v>12</v>
      </c>
      <c r="K99" s="3" t="s">
        <v>12</v>
      </c>
      <c r="L99" s="3" t="s">
        <v>12</v>
      </c>
      <c r="M99" s="3" t="s">
        <v>12</v>
      </c>
      <c r="N99" s="3" t="s">
        <v>12</v>
      </c>
      <c r="O99" s="3" t="s">
        <v>12</v>
      </c>
      <c r="P99" s="3" t="s">
        <v>12</v>
      </c>
      <c r="Q99" s="3" t="s">
        <v>12</v>
      </c>
      <c r="R99" s="3" t="s">
        <v>12</v>
      </c>
      <c r="S99" s="3" t="s">
        <v>12</v>
      </c>
      <c r="T99" s="3" t="s">
        <v>12</v>
      </c>
      <c r="U99" s="5">
        <v>-7.6100000000000001E-2</v>
      </c>
      <c r="V99" s="3" t="s">
        <v>65</v>
      </c>
    </row>
    <row r="100" spans="1:22" x14ac:dyDescent="0.2">
      <c r="A100" s="3" t="s">
        <v>143</v>
      </c>
      <c r="B100" s="3">
        <v>-38.07</v>
      </c>
      <c r="C100" s="3">
        <v>-37.5</v>
      </c>
      <c r="D100" s="3">
        <v>-22.68</v>
      </c>
      <c r="E100" s="3">
        <v>-23.17</v>
      </c>
      <c r="F100" s="3">
        <v>-23.56</v>
      </c>
      <c r="G100" s="3">
        <v>-13.32</v>
      </c>
      <c r="H100" s="3">
        <v>-15.99</v>
      </c>
      <c r="I100" s="3">
        <v>-16.82</v>
      </c>
      <c r="J100" s="3">
        <v>-18.739999999999998</v>
      </c>
      <c r="K100" s="3">
        <v>-21.22</v>
      </c>
      <c r="L100" s="3">
        <v>-21.41</v>
      </c>
      <c r="M100" s="3">
        <v>-21.98</v>
      </c>
      <c r="N100" s="3">
        <v>-22.46</v>
      </c>
      <c r="O100" s="3">
        <v>-21.64</v>
      </c>
      <c r="P100" s="3">
        <v>-22.52</v>
      </c>
      <c r="Q100" s="3">
        <v>-22.76</v>
      </c>
      <c r="R100" s="3">
        <v>-17.41</v>
      </c>
      <c r="S100" s="3">
        <v>-5.28</v>
      </c>
      <c r="T100" s="3">
        <v>-0.54</v>
      </c>
      <c r="U100" s="3">
        <v>4.1900000000000004</v>
      </c>
      <c r="V100" s="3" t="s">
        <v>65</v>
      </c>
    </row>
    <row r="101" spans="1:22" x14ac:dyDescent="0.2">
      <c r="A101" s="3" t="s">
        <v>144</v>
      </c>
      <c r="B101" s="3">
        <v>273.39999999999998</v>
      </c>
      <c r="C101" s="3">
        <v>257.35000000000002</v>
      </c>
      <c r="D101" s="3">
        <v>202.64</v>
      </c>
      <c r="E101" s="3">
        <v>194.32</v>
      </c>
      <c r="F101" s="3">
        <v>177.37</v>
      </c>
      <c r="G101" s="3">
        <v>169.68</v>
      </c>
      <c r="H101" s="3">
        <v>145.18</v>
      </c>
      <c r="I101" s="3">
        <v>140.85</v>
      </c>
      <c r="J101" s="3">
        <v>129.59</v>
      </c>
      <c r="K101" s="3">
        <v>115.49</v>
      </c>
      <c r="L101" s="3">
        <v>113.18</v>
      </c>
      <c r="M101" s="3">
        <v>113.01</v>
      </c>
      <c r="N101" s="3">
        <v>112.98</v>
      </c>
      <c r="O101" s="3">
        <v>112.85</v>
      </c>
      <c r="P101" s="3">
        <v>103.58</v>
      </c>
      <c r="Q101" s="3">
        <v>97.47</v>
      </c>
      <c r="R101" s="3">
        <v>97.46</v>
      </c>
      <c r="S101" s="3">
        <v>95.87</v>
      </c>
      <c r="T101" s="3">
        <v>92.67</v>
      </c>
      <c r="U101" s="3">
        <v>96.86</v>
      </c>
      <c r="V101" s="3" t="s">
        <v>65</v>
      </c>
    </row>
    <row r="102" spans="1:22" x14ac:dyDescent="0.2">
      <c r="A102" s="3" t="s">
        <v>145</v>
      </c>
      <c r="B102" s="3">
        <v>266.18</v>
      </c>
      <c r="C102" s="3">
        <v>245.78</v>
      </c>
      <c r="D102" s="3">
        <v>202.64</v>
      </c>
      <c r="E102" s="3">
        <v>190.67</v>
      </c>
      <c r="F102" s="3">
        <v>176.47</v>
      </c>
      <c r="G102" s="3">
        <v>168.68</v>
      </c>
      <c r="H102" s="3">
        <v>145.07</v>
      </c>
      <c r="I102" s="3">
        <v>140.83000000000001</v>
      </c>
      <c r="J102" s="3">
        <v>129.59</v>
      </c>
      <c r="K102" s="3">
        <v>115.49</v>
      </c>
      <c r="L102" s="3">
        <v>113.18</v>
      </c>
      <c r="M102" s="3">
        <v>113.01</v>
      </c>
      <c r="N102" s="3">
        <v>112.98</v>
      </c>
      <c r="O102" s="3">
        <v>112.86</v>
      </c>
      <c r="P102" s="3">
        <v>103.58</v>
      </c>
      <c r="Q102" s="3">
        <v>97.48</v>
      </c>
      <c r="R102" s="3">
        <v>97.46</v>
      </c>
      <c r="S102" s="3">
        <v>95.87</v>
      </c>
      <c r="T102" s="3">
        <v>92.67</v>
      </c>
      <c r="U102" s="3">
        <v>96.86</v>
      </c>
      <c r="V102" s="3" t="s">
        <v>65</v>
      </c>
    </row>
    <row r="103" spans="1:22" x14ac:dyDescent="0.2">
      <c r="A103" s="3" t="s">
        <v>146</v>
      </c>
      <c r="B103" s="3">
        <v>-105.08</v>
      </c>
      <c r="C103" s="3">
        <v>-103.06</v>
      </c>
      <c r="D103" s="3">
        <v>-102.07</v>
      </c>
      <c r="E103" s="3">
        <v>-237.79</v>
      </c>
      <c r="F103" s="3">
        <v>-68.22</v>
      </c>
      <c r="G103" s="3">
        <v>-55.38</v>
      </c>
      <c r="H103" s="3">
        <v>-68.16</v>
      </c>
      <c r="I103" s="3">
        <v>-63.3</v>
      </c>
      <c r="J103" s="3">
        <v>-52.72</v>
      </c>
      <c r="K103" s="3">
        <v>-52.84</v>
      </c>
      <c r="L103" s="3">
        <v>-58.23</v>
      </c>
      <c r="M103" s="3">
        <v>-54.42</v>
      </c>
      <c r="N103" s="3">
        <v>-57.89</v>
      </c>
      <c r="O103" s="3">
        <v>-44.02</v>
      </c>
      <c r="P103" s="3">
        <v>-56.29</v>
      </c>
      <c r="Q103" s="3">
        <v>-66.540000000000006</v>
      </c>
      <c r="R103" s="3">
        <v>-32.869999999999997</v>
      </c>
      <c r="S103" s="3">
        <v>-13</v>
      </c>
      <c r="T103" s="3">
        <v>-25.25</v>
      </c>
      <c r="U103" s="3">
        <v>432.86</v>
      </c>
      <c r="V103" s="3" t="s">
        <v>65</v>
      </c>
    </row>
    <row r="104" spans="1:22" x14ac:dyDescent="0.2">
      <c r="A104" s="3" t="s">
        <v>16</v>
      </c>
      <c r="B104" s="3">
        <v>121.05</v>
      </c>
      <c r="C104" s="3">
        <v>74.17</v>
      </c>
      <c r="D104" s="3">
        <v>18.62</v>
      </c>
      <c r="E104" s="3">
        <v>14.87</v>
      </c>
      <c r="F104" s="3">
        <v>13.6</v>
      </c>
      <c r="G104" s="3">
        <v>12.83</v>
      </c>
      <c r="H104" s="3">
        <v>5.79</v>
      </c>
      <c r="I104" s="3">
        <v>5.82</v>
      </c>
      <c r="J104" s="3">
        <v>3.42</v>
      </c>
      <c r="K104" s="3">
        <v>-3.32</v>
      </c>
      <c r="L104" s="3">
        <v>-1.77</v>
      </c>
      <c r="M104" s="3">
        <v>-1.66</v>
      </c>
      <c r="N104" s="3">
        <v>7.64</v>
      </c>
      <c r="O104" s="3">
        <v>8.67</v>
      </c>
      <c r="P104" s="3">
        <v>4.45</v>
      </c>
      <c r="Q104" s="3">
        <v>0.79</v>
      </c>
      <c r="R104" s="3">
        <v>3.75</v>
      </c>
      <c r="S104" s="3">
        <v>5.77</v>
      </c>
      <c r="T104" s="3">
        <v>4.2</v>
      </c>
      <c r="U104" s="3">
        <v>4.7300000000000004</v>
      </c>
      <c r="V104" s="3" t="s">
        <v>65</v>
      </c>
    </row>
    <row r="105" spans="1:22" x14ac:dyDescent="0.2">
      <c r="A105" s="3" t="s">
        <v>147</v>
      </c>
      <c r="B105" s="4">
        <v>32221</v>
      </c>
      <c r="C105" s="4">
        <v>18230</v>
      </c>
      <c r="D105" s="4">
        <v>3774</v>
      </c>
      <c r="E105" s="4">
        <v>2835</v>
      </c>
      <c r="F105" s="4">
        <v>2400</v>
      </c>
      <c r="G105" s="4">
        <v>2165</v>
      </c>
      <c r="H105" s="3">
        <v>840.4</v>
      </c>
      <c r="I105" s="3">
        <v>819.12</v>
      </c>
      <c r="J105" s="3">
        <v>443.21</v>
      </c>
      <c r="K105" s="3">
        <v>-383.12</v>
      </c>
      <c r="L105" s="3">
        <v>-200.29</v>
      </c>
      <c r="M105" s="3">
        <v>-187.07</v>
      </c>
      <c r="N105" s="3">
        <v>863</v>
      </c>
      <c r="O105" s="3">
        <v>978.96</v>
      </c>
      <c r="P105" s="3">
        <v>461.31</v>
      </c>
      <c r="Q105" s="3">
        <v>77.42</v>
      </c>
      <c r="R105" s="3">
        <v>365.04</v>
      </c>
      <c r="S105" s="3">
        <v>553.04999999999995</v>
      </c>
      <c r="T105" s="3">
        <v>389.29</v>
      </c>
      <c r="U105" s="3">
        <v>458.46</v>
      </c>
      <c r="V105" s="3" t="s">
        <v>65</v>
      </c>
    </row>
    <row r="106" spans="1:22" x14ac:dyDescent="0.2">
      <c r="A106" s="3" t="s">
        <v>148</v>
      </c>
      <c r="B106" s="3">
        <v>121.05</v>
      </c>
      <c r="C106" s="3">
        <v>74.17</v>
      </c>
      <c r="D106" s="3">
        <v>18.62</v>
      </c>
      <c r="E106" s="3">
        <v>14.87</v>
      </c>
      <c r="F106" s="3">
        <v>13.6</v>
      </c>
      <c r="G106" s="3">
        <v>12.83</v>
      </c>
      <c r="H106" s="3">
        <v>5.79</v>
      </c>
      <c r="I106" s="3">
        <v>5.82</v>
      </c>
      <c r="J106" s="3">
        <v>3.42</v>
      </c>
      <c r="K106" s="3">
        <v>-3.32</v>
      </c>
      <c r="L106" s="3">
        <v>-1.77</v>
      </c>
      <c r="M106" s="3">
        <v>-1.66</v>
      </c>
      <c r="N106" s="3">
        <v>7.64</v>
      </c>
      <c r="O106" s="3">
        <v>8.67</v>
      </c>
      <c r="P106" s="3">
        <v>4.45</v>
      </c>
      <c r="Q106" s="3">
        <v>0.79</v>
      </c>
      <c r="R106" s="3">
        <v>3.75</v>
      </c>
      <c r="S106" s="3">
        <v>5.77</v>
      </c>
      <c r="T106" s="3">
        <v>4.2</v>
      </c>
      <c r="U106" s="3">
        <v>4.7300000000000004</v>
      </c>
      <c r="V106" s="3" t="s">
        <v>65</v>
      </c>
    </row>
    <row r="107" spans="1:22" x14ac:dyDescent="0.2">
      <c r="A107" s="3" t="s">
        <v>149</v>
      </c>
      <c r="B107" s="3" t="s">
        <v>12</v>
      </c>
      <c r="C107" s="3">
        <v>120.18</v>
      </c>
      <c r="D107" s="3" t="s">
        <v>12</v>
      </c>
      <c r="E107" s="3" t="s">
        <v>12</v>
      </c>
      <c r="F107" s="3" t="s">
        <v>12</v>
      </c>
      <c r="G107" s="3">
        <v>119.54</v>
      </c>
      <c r="H107" s="3" t="s">
        <v>12</v>
      </c>
      <c r="I107" s="3" t="s">
        <v>12</v>
      </c>
      <c r="J107" s="3" t="s">
        <v>12</v>
      </c>
      <c r="K107" s="3">
        <v>118.96</v>
      </c>
      <c r="L107" s="3" t="s">
        <v>12</v>
      </c>
      <c r="M107" s="3" t="s">
        <v>12</v>
      </c>
      <c r="N107" s="3" t="s">
        <v>12</v>
      </c>
      <c r="O107" s="3">
        <v>120.43</v>
      </c>
      <c r="P107" s="3" t="s">
        <v>12</v>
      </c>
      <c r="Q107" s="3" t="s">
        <v>12</v>
      </c>
      <c r="R107" s="3" t="s">
        <v>12</v>
      </c>
      <c r="S107" s="3">
        <v>120.4</v>
      </c>
      <c r="T107" s="3" t="s">
        <v>12</v>
      </c>
      <c r="U107" s="3" t="s">
        <v>12</v>
      </c>
      <c r="V107" s="3" t="s">
        <v>65</v>
      </c>
    </row>
    <row r="108" spans="1:22" x14ac:dyDescent="0.2">
      <c r="A108" s="3" t="s">
        <v>507</v>
      </c>
      <c r="B108" s="3" t="s">
        <v>12</v>
      </c>
      <c r="C108" s="3">
        <v>29.55</v>
      </c>
      <c r="D108" s="3" t="s">
        <v>12</v>
      </c>
      <c r="E108" s="3" t="s">
        <v>12</v>
      </c>
      <c r="F108" s="3" t="s">
        <v>12</v>
      </c>
      <c r="G108" s="3">
        <v>29.94</v>
      </c>
      <c r="H108" s="3" t="s">
        <v>12</v>
      </c>
      <c r="I108" s="3" t="s">
        <v>12</v>
      </c>
      <c r="J108" s="3" t="s">
        <v>12</v>
      </c>
      <c r="K108" s="3">
        <v>28.76</v>
      </c>
      <c r="L108" s="3" t="s">
        <v>12</v>
      </c>
      <c r="M108" s="3" t="s">
        <v>12</v>
      </c>
      <c r="N108" s="3" t="s">
        <v>12</v>
      </c>
      <c r="O108" s="3">
        <v>28.87</v>
      </c>
      <c r="P108" s="3" t="s">
        <v>12</v>
      </c>
      <c r="Q108" s="3" t="s">
        <v>12</v>
      </c>
      <c r="R108" s="3" t="s">
        <v>12</v>
      </c>
      <c r="S108" s="3">
        <v>31.4</v>
      </c>
      <c r="T108" s="3" t="s">
        <v>12</v>
      </c>
      <c r="U108" s="3" t="s">
        <v>12</v>
      </c>
      <c r="V108" s="3" t="s">
        <v>65</v>
      </c>
    </row>
    <row r="116" spans="1:22" x14ac:dyDescent="0.2">
      <c r="A116" s="1" t="s">
        <v>100</v>
      </c>
      <c r="B116" s="1" t="s">
        <v>432</v>
      </c>
      <c r="C116" s="1" t="s">
        <v>101</v>
      </c>
      <c r="D116" s="1" t="s">
        <v>102</v>
      </c>
      <c r="E116" s="1" t="s">
        <v>180</v>
      </c>
      <c r="F116" s="1" t="s">
        <v>181</v>
      </c>
      <c r="G116" s="1" t="s">
        <v>103</v>
      </c>
      <c r="H116" s="1" t="s">
        <v>182</v>
      </c>
      <c r="I116" s="1" t="s">
        <v>183</v>
      </c>
      <c r="J116" s="1" t="s">
        <v>184</v>
      </c>
      <c r="K116" s="1" t="s">
        <v>104</v>
      </c>
      <c r="L116" s="1" t="s">
        <v>185</v>
      </c>
      <c r="M116" s="1" t="s">
        <v>186</v>
      </c>
      <c r="N116" s="1" t="s">
        <v>187</v>
      </c>
      <c r="O116" s="1" t="s">
        <v>105</v>
      </c>
      <c r="P116" s="1" t="s">
        <v>188</v>
      </c>
      <c r="Q116" s="1" t="s">
        <v>189</v>
      </c>
      <c r="R116" s="1" t="s">
        <v>190</v>
      </c>
      <c r="S116" s="1" t="s">
        <v>503</v>
      </c>
      <c r="T116" s="1" t="s">
        <v>513</v>
      </c>
      <c r="U116" s="1" t="s">
        <v>514</v>
      </c>
      <c r="V116" s="1" t="s">
        <v>476</v>
      </c>
    </row>
    <row r="117" spans="1:22" x14ac:dyDescent="0.2">
      <c r="A117" s="1" t="s">
        <v>10</v>
      </c>
      <c r="B117" s="1" t="s">
        <v>433</v>
      </c>
      <c r="C117" s="1" t="s">
        <v>413</v>
      </c>
      <c r="D117" s="1" t="s">
        <v>414</v>
      </c>
      <c r="E117" s="1" t="s">
        <v>405</v>
      </c>
      <c r="F117" s="1" t="s">
        <v>406</v>
      </c>
      <c r="G117" s="1" t="s">
        <v>404</v>
      </c>
      <c r="H117" s="1" t="s">
        <v>415</v>
      </c>
      <c r="I117" s="1" t="s">
        <v>408</v>
      </c>
      <c r="J117" s="1" t="s">
        <v>416</v>
      </c>
      <c r="K117" s="1" t="s">
        <v>417</v>
      </c>
      <c r="L117" s="1" t="s">
        <v>418</v>
      </c>
      <c r="M117" s="1" t="s">
        <v>409</v>
      </c>
      <c r="N117" s="1" t="s">
        <v>419</v>
      </c>
      <c r="O117" s="1" t="s">
        <v>420</v>
      </c>
      <c r="P117" s="1" t="s">
        <v>421</v>
      </c>
      <c r="Q117" s="1" t="s">
        <v>410</v>
      </c>
      <c r="R117" s="1" t="s">
        <v>422</v>
      </c>
      <c r="S117" s="1" t="s">
        <v>423</v>
      </c>
      <c r="T117" s="1" t="s">
        <v>424</v>
      </c>
      <c r="U117" s="1" t="s">
        <v>411</v>
      </c>
      <c r="V117" s="1" t="s">
        <v>476</v>
      </c>
    </row>
    <row r="118" spans="1:22" x14ac:dyDescent="0.2">
      <c r="A118" s="3" t="s">
        <v>17</v>
      </c>
      <c r="B118" s="4">
        <v>-5331</v>
      </c>
      <c r="C118" s="4">
        <v>-1167</v>
      </c>
      <c r="D118" s="3">
        <v>-406.73</v>
      </c>
      <c r="E118" s="3">
        <v>-209.99</v>
      </c>
      <c r="F118" s="3">
        <v>-85.19</v>
      </c>
      <c r="G118" s="3">
        <v>429.12</v>
      </c>
      <c r="H118" s="3">
        <v>90.33</v>
      </c>
      <c r="I118" s="3">
        <v>206.69</v>
      </c>
      <c r="J118" s="3">
        <v>-877.85</v>
      </c>
      <c r="K118" s="4">
        <v>-1470</v>
      </c>
      <c r="L118" s="4">
        <v>-1310</v>
      </c>
      <c r="M118" s="4">
        <v>-1319</v>
      </c>
      <c r="N118" s="3">
        <v>-556.21</v>
      </c>
      <c r="O118" s="3">
        <v>-535.48</v>
      </c>
      <c r="P118" s="3">
        <v>-442.84</v>
      </c>
      <c r="Q118" s="3">
        <v>-420.94</v>
      </c>
      <c r="R118" s="3">
        <v>-118.2</v>
      </c>
      <c r="S118" s="3">
        <v>-7.52</v>
      </c>
      <c r="T118" s="3">
        <v>1.98</v>
      </c>
      <c r="U118" s="3">
        <v>25.91</v>
      </c>
      <c r="V118" s="3" t="s">
        <v>65</v>
      </c>
    </row>
    <row r="119" spans="1:22" x14ac:dyDescent="0.2">
      <c r="A119" s="3" t="s">
        <v>150</v>
      </c>
      <c r="B119" s="3">
        <v>9.0299999999999994</v>
      </c>
      <c r="C119" s="3">
        <v>5.51</v>
      </c>
      <c r="D119" s="3">
        <v>9.6999999999999993</v>
      </c>
      <c r="E119" s="3">
        <v>6.47</v>
      </c>
      <c r="F119" s="3">
        <v>6.05</v>
      </c>
      <c r="G119" s="3">
        <v>6.43</v>
      </c>
      <c r="H119" s="3">
        <v>8.86</v>
      </c>
      <c r="I119" s="3">
        <v>8.27</v>
      </c>
      <c r="J119" s="3">
        <v>7.11</v>
      </c>
      <c r="K119" s="3">
        <v>6.37</v>
      </c>
      <c r="L119" s="3">
        <v>9.64</v>
      </c>
      <c r="M119" s="3">
        <v>10.130000000000001</v>
      </c>
      <c r="N119" s="3">
        <v>11.27</v>
      </c>
      <c r="O119" s="3">
        <v>8.66</v>
      </c>
      <c r="P119" s="3">
        <v>12.63</v>
      </c>
      <c r="Q119" s="3">
        <v>13.5</v>
      </c>
      <c r="R119" s="3">
        <v>13.36</v>
      </c>
      <c r="S119" s="3">
        <v>13.33</v>
      </c>
      <c r="T119" s="3">
        <v>12.48</v>
      </c>
      <c r="U119" s="3">
        <v>10.8</v>
      </c>
      <c r="V119" s="3" t="s">
        <v>65</v>
      </c>
    </row>
    <row r="120" spans="1:22" x14ac:dyDescent="0.2">
      <c r="A120" s="3" t="s">
        <v>475</v>
      </c>
      <c r="B120" s="3">
        <v>31.13</v>
      </c>
      <c r="C120" s="3">
        <v>27.64</v>
      </c>
      <c r="D120" s="3">
        <v>20.54</v>
      </c>
      <c r="E120" s="3">
        <v>18.91</v>
      </c>
      <c r="F120" s="3">
        <v>17.260000000000002</v>
      </c>
      <c r="G120" s="3">
        <v>16.91</v>
      </c>
      <c r="H120" s="3">
        <v>13.3</v>
      </c>
      <c r="I120" s="3">
        <v>13.3</v>
      </c>
      <c r="J120" s="3">
        <v>13.28</v>
      </c>
      <c r="K120" s="3">
        <v>13.19</v>
      </c>
      <c r="L120" s="3">
        <v>8.61</v>
      </c>
      <c r="M120" s="3">
        <v>8.52</v>
      </c>
      <c r="N120" s="3">
        <v>8.16</v>
      </c>
      <c r="O120" s="3">
        <v>9.9</v>
      </c>
      <c r="P120" s="3">
        <v>6.63</v>
      </c>
      <c r="Q120" s="3">
        <v>4.5199999999999996</v>
      </c>
      <c r="R120" s="3">
        <v>2.72</v>
      </c>
      <c r="S120" s="3">
        <v>1.54</v>
      </c>
      <c r="T120" s="3" t="s">
        <v>12</v>
      </c>
      <c r="U120" s="3" t="s">
        <v>12</v>
      </c>
      <c r="V120" s="3" t="s">
        <v>65</v>
      </c>
    </row>
    <row r="121" spans="1:22" x14ac:dyDescent="0.2">
      <c r="A121" s="3" t="s">
        <v>483</v>
      </c>
      <c r="B121" s="3" t="s">
        <v>12</v>
      </c>
      <c r="C121" s="3" t="s">
        <v>12</v>
      </c>
      <c r="D121" s="3" t="s">
        <v>12</v>
      </c>
      <c r="E121" s="3" t="s">
        <v>12</v>
      </c>
      <c r="F121" s="3" t="s">
        <v>12</v>
      </c>
      <c r="G121" s="3" t="s">
        <v>12</v>
      </c>
      <c r="H121" s="3" t="s">
        <v>12</v>
      </c>
      <c r="I121" s="3" t="s">
        <v>12</v>
      </c>
      <c r="J121" s="3" t="s">
        <v>12</v>
      </c>
      <c r="K121" s="3" t="s">
        <v>12</v>
      </c>
      <c r="L121" s="3">
        <v>8.19</v>
      </c>
      <c r="M121" s="3">
        <v>8.19</v>
      </c>
      <c r="N121" s="3">
        <v>6.1</v>
      </c>
      <c r="O121" s="3" t="s">
        <v>12</v>
      </c>
      <c r="P121" s="3">
        <v>2.08</v>
      </c>
      <c r="Q121" s="3">
        <v>4.13</v>
      </c>
      <c r="R121" s="3">
        <v>8.24</v>
      </c>
      <c r="S121" s="3">
        <v>8.2100000000000009</v>
      </c>
      <c r="T121" s="3">
        <v>8.15</v>
      </c>
      <c r="U121" s="3">
        <v>8.1300000000000008</v>
      </c>
      <c r="V121" s="3" t="s">
        <v>65</v>
      </c>
    </row>
    <row r="122" spans="1:22" ht="22" customHeight="1" x14ac:dyDescent="0.2">
      <c r="A122" s="3" t="s">
        <v>534</v>
      </c>
      <c r="B122" s="3" t="s">
        <v>12</v>
      </c>
      <c r="C122" s="3" t="s">
        <v>12</v>
      </c>
      <c r="D122" s="3" t="s">
        <v>12</v>
      </c>
      <c r="E122" s="3" t="s">
        <v>12</v>
      </c>
      <c r="F122" s="3" t="s">
        <v>12</v>
      </c>
      <c r="G122" s="3" t="s">
        <v>12</v>
      </c>
      <c r="H122" s="3" t="s">
        <v>12</v>
      </c>
      <c r="I122" s="3" t="s">
        <v>12</v>
      </c>
      <c r="J122" s="3" t="s">
        <v>12</v>
      </c>
      <c r="K122" s="3" t="s">
        <v>12</v>
      </c>
      <c r="L122" s="3" t="s">
        <v>12</v>
      </c>
      <c r="M122" s="3" t="s">
        <v>12</v>
      </c>
      <c r="N122" s="3" t="s">
        <v>12</v>
      </c>
      <c r="O122" s="3" t="s">
        <v>12</v>
      </c>
      <c r="P122" s="3" t="s">
        <v>12</v>
      </c>
      <c r="Q122" s="3">
        <v>-0.09</v>
      </c>
      <c r="R122" s="3">
        <v>-0.09</v>
      </c>
      <c r="S122" s="3">
        <v>-0.09</v>
      </c>
      <c r="T122" s="3">
        <v>-0.09</v>
      </c>
      <c r="U122" s="3" t="s">
        <v>12</v>
      </c>
      <c r="V122" s="3" t="s">
        <v>65</v>
      </c>
    </row>
    <row r="123" spans="1:22" x14ac:dyDescent="0.2">
      <c r="A123" s="3" t="s">
        <v>151</v>
      </c>
      <c r="B123" s="3">
        <v>71.150000000000006</v>
      </c>
      <c r="C123" s="3">
        <v>77.12</v>
      </c>
      <c r="D123" s="3">
        <v>77.510000000000005</v>
      </c>
      <c r="E123" s="3">
        <v>74.930000000000007</v>
      </c>
      <c r="F123" s="3">
        <v>69.81</v>
      </c>
      <c r="G123" s="3">
        <v>69.569999999999993</v>
      </c>
      <c r="H123" s="3">
        <v>66.89</v>
      </c>
      <c r="I123" s="3">
        <v>66.98</v>
      </c>
      <c r="J123" s="3">
        <v>66.78</v>
      </c>
      <c r="K123" s="3">
        <v>63.62</v>
      </c>
      <c r="L123" s="3">
        <v>59.74</v>
      </c>
      <c r="M123" s="3">
        <v>55.01</v>
      </c>
      <c r="N123" s="3">
        <v>50.81</v>
      </c>
      <c r="O123" s="3">
        <v>44.13</v>
      </c>
      <c r="P123" s="3">
        <v>34.229999999999997</v>
      </c>
      <c r="Q123" s="3">
        <v>24.62</v>
      </c>
      <c r="R123" s="3">
        <v>15.75</v>
      </c>
      <c r="S123" s="3">
        <v>11.15</v>
      </c>
      <c r="T123" s="3">
        <v>10.220000000000001</v>
      </c>
      <c r="U123" s="3">
        <v>9.49</v>
      </c>
      <c r="V123" s="3" t="s">
        <v>65</v>
      </c>
    </row>
    <row r="124" spans="1:22" x14ac:dyDescent="0.2">
      <c r="A124" s="3" t="s">
        <v>508</v>
      </c>
      <c r="B124" s="3">
        <v>0.72</v>
      </c>
      <c r="C124" s="3">
        <v>0.72</v>
      </c>
      <c r="D124" s="3">
        <v>0.31</v>
      </c>
      <c r="E124" s="3">
        <v>0.32</v>
      </c>
      <c r="F124" s="3">
        <v>0.78</v>
      </c>
      <c r="G124" s="3">
        <v>0.8</v>
      </c>
      <c r="H124" s="3">
        <v>-0.05</v>
      </c>
      <c r="I124" s="3">
        <v>0.22</v>
      </c>
      <c r="J124" s="3">
        <v>0.13</v>
      </c>
      <c r="K124" s="3">
        <v>0.38</v>
      </c>
      <c r="L124" s="3">
        <v>1.1100000000000001</v>
      </c>
      <c r="M124" s="3">
        <v>0.91</v>
      </c>
      <c r="N124" s="3">
        <v>1.1100000000000001</v>
      </c>
      <c r="O124" s="3">
        <v>0.67</v>
      </c>
      <c r="P124" s="3">
        <v>0.42</v>
      </c>
      <c r="Q124" s="3">
        <v>0.93</v>
      </c>
      <c r="R124" s="3">
        <v>0.55000000000000004</v>
      </c>
      <c r="S124" s="3">
        <v>1.55</v>
      </c>
      <c r="T124" s="3">
        <v>1.1100000000000001</v>
      </c>
      <c r="U124" s="3">
        <v>0.32</v>
      </c>
      <c r="V124" s="3" t="s">
        <v>65</v>
      </c>
    </row>
    <row r="125" spans="1:22" x14ac:dyDescent="0.2">
      <c r="A125" s="3" t="s">
        <v>152</v>
      </c>
      <c r="B125" s="4">
        <v>5193</v>
      </c>
      <c r="C125" s="4">
        <v>1045</v>
      </c>
      <c r="D125" s="3">
        <v>291.66000000000003</v>
      </c>
      <c r="E125" s="3">
        <v>136.69</v>
      </c>
      <c r="F125" s="3">
        <v>27.33</v>
      </c>
      <c r="G125" s="3">
        <v>-489.06</v>
      </c>
      <c r="H125" s="3">
        <v>-146.58000000000001</v>
      </c>
      <c r="I125" s="3">
        <v>-270.02</v>
      </c>
      <c r="J125" s="3">
        <v>827.59</v>
      </c>
      <c r="K125" s="4">
        <v>1426</v>
      </c>
      <c r="L125" s="4">
        <v>1263</v>
      </c>
      <c r="M125" s="4">
        <v>1289</v>
      </c>
      <c r="N125" s="3">
        <v>543.98</v>
      </c>
      <c r="O125" s="3">
        <v>554.87</v>
      </c>
      <c r="P125" s="3">
        <v>486.07</v>
      </c>
      <c r="Q125" s="3">
        <v>473.65</v>
      </c>
      <c r="R125" s="3">
        <v>164.61</v>
      </c>
      <c r="S125" s="3">
        <v>48.23</v>
      </c>
      <c r="T125" s="3">
        <v>29.88</v>
      </c>
      <c r="U125" s="3">
        <v>-1.96</v>
      </c>
      <c r="V125" s="3" t="s">
        <v>65</v>
      </c>
    </row>
    <row r="126" spans="1:22" x14ac:dyDescent="0.2">
      <c r="A126" s="3" t="s">
        <v>372</v>
      </c>
      <c r="B126" s="3">
        <v>4.04</v>
      </c>
      <c r="C126" s="3">
        <v>5.69</v>
      </c>
      <c r="D126" s="3">
        <v>31.05</v>
      </c>
      <c r="E126" s="3">
        <v>12.69</v>
      </c>
      <c r="F126" s="3">
        <v>12.26</v>
      </c>
      <c r="G126" s="3">
        <v>10.31</v>
      </c>
      <c r="H126" s="3">
        <v>-4.25</v>
      </c>
      <c r="I126" s="3">
        <v>3.16</v>
      </c>
      <c r="J126" s="3">
        <v>-3.23</v>
      </c>
      <c r="K126" s="3">
        <v>-5.29</v>
      </c>
      <c r="L126" s="3">
        <v>-2.4300000000000002</v>
      </c>
      <c r="M126" s="3">
        <v>0.7</v>
      </c>
      <c r="N126" s="3">
        <v>4.03</v>
      </c>
      <c r="O126" s="3">
        <v>2.62</v>
      </c>
      <c r="P126" s="3">
        <v>3.42</v>
      </c>
      <c r="Q126" s="3">
        <v>-10.6</v>
      </c>
      <c r="R126" s="3">
        <v>-8.41</v>
      </c>
      <c r="S126" s="3">
        <v>-0.77</v>
      </c>
      <c r="T126" s="3">
        <v>-9.01</v>
      </c>
      <c r="U126" s="3">
        <v>11.37</v>
      </c>
      <c r="V126" s="3" t="s">
        <v>65</v>
      </c>
    </row>
    <row r="127" spans="1:22" x14ac:dyDescent="0.2">
      <c r="A127" s="3" t="s">
        <v>154</v>
      </c>
      <c r="B127" s="3">
        <v>1.72</v>
      </c>
      <c r="C127" s="3">
        <v>1.1399999999999999</v>
      </c>
      <c r="D127" s="3">
        <v>-0.95</v>
      </c>
      <c r="E127" s="3">
        <v>0.6</v>
      </c>
      <c r="F127" s="3">
        <v>-6.87</v>
      </c>
      <c r="G127" s="3">
        <v>-0.63</v>
      </c>
      <c r="H127" s="3">
        <v>-2.65</v>
      </c>
      <c r="I127" s="3">
        <v>-2.71</v>
      </c>
      <c r="J127" s="3">
        <v>2.75</v>
      </c>
      <c r="K127" s="3">
        <v>-3.52</v>
      </c>
      <c r="L127" s="3">
        <v>5.66</v>
      </c>
      <c r="M127" s="3">
        <v>2.4700000000000002</v>
      </c>
      <c r="N127" s="3">
        <v>6.34</v>
      </c>
      <c r="O127" s="3">
        <v>3.75</v>
      </c>
      <c r="P127" s="3">
        <v>-2.52</v>
      </c>
      <c r="Q127" s="3">
        <v>2.06</v>
      </c>
      <c r="R127" s="3">
        <v>4.7</v>
      </c>
      <c r="S127" s="3">
        <v>9.17</v>
      </c>
      <c r="T127" s="3">
        <v>5.2</v>
      </c>
      <c r="U127" s="3">
        <v>-0.75</v>
      </c>
      <c r="V127" s="3" t="s">
        <v>65</v>
      </c>
    </row>
    <row r="128" spans="1:22" x14ac:dyDescent="0.2">
      <c r="A128" s="3" t="s">
        <v>511</v>
      </c>
      <c r="B128" s="3">
        <v>2.78</v>
      </c>
      <c r="C128" s="3">
        <v>1.05</v>
      </c>
      <c r="D128" s="3">
        <v>-4.05</v>
      </c>
      <c r="E128" s="3">
        <v>0.4</v>
      </c>
      <c r="F128" s="3">
        <v>10.57</v>
      </c>
      <c r="G128" s="3">
        <v>2.36</v>
      </c>
      <c r="H128" s="3">
        <v>-0.66</v>
      </c>
      <c r="I128" s="3">
        <v>4.8499999999999996</v>
      </c>
      <c r="J128" s="3">
        <v>-0.7</v>
      </c>
      <c r="K128" s="3">
        <v>14.84</v>
      </c>
      <c r="L128" s="3">
        <v>15.73</v>
      </c>
      <c r="M128" s="3">
        <v>13.83</v>
      </c>
      <c r="N128" s="3">
        <v>16</v>
      </c>
      <c r="O128" s="3">
        <v>14.71</v>
      </c>
      <c r="P128" s="3">
        <v>16.55</v>
      </c>
      <c r="Q128" s="3">
        <v>17.260000000000002</v>
      </c>
      <c r="R128" s="3">
        <v>5.38</v>
      </c>
      <c r="S128" s="3">
        <v>-20.22</v>
      </c>
      <c r="T128" s="3">
        <v>-15.16</v>
      </c>
      <c r="U128" s="3">
        <v>-12.31</v>
      </c>
      <c r="V128" s="3" t="s">
        <v>65</v>
      </c>
    </row>
    <row r="129" spans="1:22" x14ac:dyDescent="0.2">
      <c r="A129" s="3" t="s">
        <v>155</v>
      </c>
      <c r="B129" s="3">
        <v>-66.319999999999993</v>
      </c>
      <c r="C129" s="3">
        <v>-50.59</v>
      </c>
      <c r="D129" s="3">
        <v>-53.56</v>
      </c>
      <c r="E129" s="3">
        <v>-41.98</v>
      </c>
      <c r="F129" s="3">
        <v>-48.08</v>
      </c>
      <c r="G129" s="3">
        <v>-33.090000000000003</v>
      </c>
      <c r="H129" s="3">
        <v>-31.86</v>
      </c>
      <c r="I129" s="3">
        <v>-31.46</v>
      </c>
      <c r="J129" s="3">
        <v>-38.93</v>
      </c>
      <c r="K129" s="3">
        <v>-42.64</v>
      </c>
      <c r="L129" s="3">
        <v>-34.25</v>
      </c>
      <c r="M129" s="3">
        <v>-29.59</v>
      </c>
      <c r="N129" s="3">
        <v>-16.78</v>
      </c>
      <c r="O129" s="3">
        <v>-9.99</v>
      </c>
      <c r="P129" s="3">
        <v>-0.76</v>
      </c>
      <c r="Q129" s="3">
        <v>-5.25</v>
      </c>
      <c r="R129" s="3">
        <v>-1.35</v>
      </c>
      <c r="S129" s="3">
        <v>-10.96</v>
      </c>
      <c r="T129" s="3">
        <v>-7.91</v>
      </c>
      <c r="U129" s="3">
        <v>-12.81</v>
      </c>
      <c r="V129" s="3" t="s">
        <v>65</v>
      </c>
    </row>
    <row r="130" spans="1:22" x14ac:dyDescent="0.2">
      <c r="A130" s="3" t="s">
        <v>156</v>
      </c>
      <c r="B130" s="3">
        <v>-84.01</v>
      </c>
      <c r="C130" s="3">
        <v>-53.03</v>
      </c>
      <c r="D130" s="3">
        <v>-34.520000000000003</v>
      </c>
      <c r="E130" s="3">
        <v>-0.96</v>
      </c>
      <c r="F130" s="3">
        <v>3.9</v>
      </c>
      <c r="G130" s="3">
        <v>12.71</v>
      </c>
      <c r="H130" s="3">
        <v>-6.67</v>
      </c>
      <c r="I130" s="3">
        <v>-0.73</v>
      </c>
      <c r="J130" s="3">
        <v>-3.07</v>
      </c>
      <c r="K130" s="3">
        <v>3.21</v>
      </c>
      <c r="L130" s="3">
        <v>24.66</v>
      </c>
      <c r="M130" s="3">
        <v>40.020000000000003</v>
      </c>
      <c r="N130" s="3">
        <v>74.81</v>
      </c>
      <c r="O130" s="3">
        <v>93.83</v>
      </c>
      <c r="P130" s="3">
        <v>115.91</v>
      </c>
      <c r="Q130" s="3">
        <v>103.77</v>
      </c>
      <c r="R130" s="3">
        <v>87.25</v>
      </c>
      <c r="S130" s="3">
        <v>53.62</v>
      </c>
      <c r="T130" s="3">
        <v>36.840000000000003</v>
      </c>
      <c r="U130" s="3">
        <v>38.19</v>
      </c>
      <c r="V130" s="3" t="s">
        <v>65</v>
      </c>
    </row>
    <row r="131" spans="1:22" x14ac:dyDescent="0.2">
      <c r="A131" s="3" t="s">
        <v>197</v>
      </c>
      <c r="B131" s="3" t="s">
        <v>12</v>
      </c>
      <c r="C131" s="3" t="s">
        <v>12</v>
      </c>
      <c r="D131" s="3" t="s">
        <v>12</v>
      </c>
      <c r="E131" s="3" t="s">
        <v>12</v>
      </c>
      <c r="F131" s="3" t="s">
        <v>12</v>
      </c>
      <c r="G131" s="5">
        <v>2.9588999999999999</v>
      </c>
      <c r="H131" s="3" t="s">
        <v>12</v>
      </c>
      <c r="I131" s="3" t="s">
        <v>12</v>
      </c>
      <c r="J131" s="3" t="s">
        <v>12</v>
      </c>
      <c r="K131" s="5">
        <v>-0.96579999999999999</v>
      </c>
      <c r="L131" s="5">
        <v>-0.7873</v>
      </c>
      <c r="M131" s="5">
        <v>-0.61429999999999996</v>
      </c>
      <c r="N131" s="5">
        <v>-0.1426</v>
      </c>
      <c r="O131" s="5">
        <v>0.75</v>
      </c>
      <c r="P131" s="5">
        <v>2.1461999999999999</v>
      </c>
      <c r="Q131" s="5">
        <v>1.7176</v>
      </c>
      <c r="R131" s="5">
        <v>0.3745</v>
      </c>
      <c r="S131" s="5">
        <v>-0.1191</v>
      </c>
      <c r="T131" s="5">
        <v>-7.2099999999999997E-2</v>
      </c>
      <c r="U131" s="5">
        <v>4.6100000000000002E-2</v>
      </c>
      <c r="V131" s="3" t="s">
        <v>65</v>
      </c>
    </row>
    <row r="132" spans="1:22" x14ac:dyDescent="0.2">
      <c r="A132" s="3" t="s">
        <v>157</v>
      </c>
      <c r="B132" s="3">
        <v>-20.67</v>
      </c>
      <c r="C132" s="3">
        <v>-13.48</v>
      </c>
      <c r="D132" s="3">
        <v>-3.04</v>
      </c>
      <c r="E132" s="3">
        <v>-4.07</v>
      </c>
      <c r="F132" s="3">
        <v>-3.98</v>
      </c>
      <c r="G132" s="3">
        <v>-2.94</v>
      </c>
      <c r="H132" s="3">
        <v>-3.23</v>
      </c>
      <c r="I132" s="3">
        <v>-2.11</v>
      </c>
      <c r="J132" s="3">
        <v>-2.34</v>
      </c>
      <c r="K132" s="3">
        <v>-2.4900000000000002</v>
      </c>
      <c r="L132" s="3">
        <v>-2.68</v>
      </c>
      <c r="M132" s="3">
        <v>-2.88</v>
      </c>
      <c r="N132" s="3">
        <v>-2.9</v>
      </c>
      <c r="O132" s="3">
        <v>-2.71</v>
      </c>
      <c r="P132" s="3">
        <v>-4.37</v>
      </c>
      <c r="Q132" s="3">
        <v>-3.83</v>
      </c>
      <c r="R132" s="3">
        <v>-3.44</v>
      </c>
      <c r="S132" s="3">
        <v>-3.65</v>
      </c>
      <c r="T132" s="3">
        <v>-1.96</v>
      </c>
      <c r="U132" s="3">
        <v>-2.91</v>
      </c>
      <c r="V132" s="3" t="s">
        <v>65</v>
      </c>
    </row>
    <row r="133" spans="1:22" x14ac:dyDescent="0.2">
      <c r="A133" s="3" t="s">
        <v>521</v>
      </c>
      <c r="B133" s="3" t="s">
        <v>12</v>
      </c>
      <c r="C133" s="3" t="s">
        <v>12</v>
      </c>
      <c r="D133" s="4">
        <v>-5223</v>
      </c>
      <c r="E133" s="4">
        <v>-3809</v>
      </c>
      <c r="F133" s="3">
        <v>179.28</v>
      </c>
      <c r="G133" s="3" t="s">
        <v>12</v>
      </c>
      <c r="H133" s="3">
        <v>-732.59</v>
      </c>
      <c r="I133" s="3">
        <v>-576.88</v>
      </c>
      <c r="J133" s="3">
        <v>-239.88</v>
      </c>
      <c r="K133" s="3" t="s">
        <v>12</v>
      </c>
      <c r="L133" s="3">
        <v>-822.54</v>
      </c>
      <c r="M133" s="4">
        <v>-1236</v>
      </c>
      <c r="N133" s="4">
        <v>-1756</v>
      </c>
      <c r="O133" s="4">
        <v>-2627</v>
      </c>
      <c r="P133" s="4">
        <v>-2735</v>
      </c>
      <c r="Q133" s="4">
        <v>-2741</v>
      </c>
      <c r="R133" s="4">
        <v>-2211</v>
      </c>
      <c r="S133" s="4">
        <v>-1125</v>
      </c>
      <c r="T133" s="3">
        <v>-425</v>
      </c>
      <c r="U133" s="3" t="s">
        <v>12</v>
      </c>
      <c r="V133" s="3" t="s">
        <v>65</v>
      </c>
    </row>
    <row r="134" spans="1:22" x14ac:dyDescent="0.2">
      <c r="A134" s="3" t="s">
        <v>429</v>
      </c>
      <c r="B134" s="3" t="s">
        <v>12</v>
      </c>
      <c r="C134" s="3" t="s">
        <v>12</v>
      </c>
      <c r="D134" s="3" t="s">
        <v>12</v>
      </c>
      <c r="E134" s="3" t="s">
        <v>12</v>
      </c>
      <c r="F134" s="3" t="s">
        <v>12</v>
      </c>
      <c r="G134" s="3" t="s">
        <v>12</v>
      </c>
      <c r="H134" s="3" t="s">
        <v>12</v>
      </c>
      <c r="I134" s="3" t="s">
        <v>12</v>
      </c>
      <c r="J134" s="3" t="s">
        <v>12</v>
      </c>
      <c r="K134" s="3" t="s">
        <v>12</v>
      </c>
      <c r="L134" s="3" t="s">
        <v>12</v>
      </c>
      <c r="M134" s="3" t="s">
        <v>12</v>
      </c>
      <c r="N134" s="3" t="s">
        <v>12</v>
      </c>
      <c r="O134" s="3" t="s">
        <v>12</v>
      </c>
      <c r="P134" s="3" t="s">
        <v>12</v>
      </c>
      <c r="Q134" s="3">
        <v>109.89</v>
      </c>
      <c r="R134" s="3">
        <v>109.89</v>
      </c>
      <c r="S134" s="3">
        <v>109.96</v>
      </c>
      <c r="T134" s="3">
        <v>204.96</v>
      </c>
      <c r="U134" s="3">
        <v>206.59</v>
      </c>
      <c r="V134" s="3" t="s">
        <v>65</v>
      </c>
    </row>
    <row r="135" spans="1:22" x14ac:dyDescent="0.2">
      <c r="A135" s="3" t="s">
        <v>158</v>
      </c>
      <c r="B135" s="4">
        <v>-28095</v>
      </c>
      <c r="C135" s="4">
        <v>-22073</v>
      </c>
      <c r="D135" s="3" t="s">
        <v>12</v>
      </c>
      <c r="E135" s="3" t="s">
        <v>12</v>
      </c>
      <c r="F135" s="4">
        <v>-3542</v>
      </c>
      <c r="G135" s="4">
        <v>-1902</v>
      </c>
      <c r="H135" s="3" t="s">
        <v>12</v>
      </c>
      <c r="I135" s="3" t="s">
        <v>12</v>
      </c>
      <c r="J135" s="3" t="s">
        <v>12</v>
      </c>
      <c r="K135" s="3">
        <v>-276.10000000000002</v>
      </c>
      <c r="L135" s="3" t="s">
        <v>12</v>
      </c>
      <c r="M135" s="3" t="s">
        <v>12</v>
      </c>
      <c r="N135" s="3" t="s">
        <v>12</v>
      </c>
      <c r="O135" s="3" t="s">
        <v>12</v>
      </c>
      <c r="P135" s="3" t="s">
        <v>12</v>
      </c>
      <c r="Q135" s="3" t="s">
        <v>12</v>
      </c>
      <c r="R135" s="3" t="s">
        <v>12</v>
      </c>
      <c r="S135" s="3" t="s">
        <v>12</v>
      </c>
      <c r="T135" s="3" t="s">
        <v>12</v>
      </c>
      <c r="U135" s="3" t="s">
        <v>12</v>
      </c>
      <c r="V135" s="3" t="s">
        <v>65</v>
      </c>
    </row>
    <row r="136" spans="1:22" x14ac:dyDescent="0.2">
      <c r="A136" s="3" t="s">
        <v>159</v>
      </c>
      <c r="B136" s="4">
        <v>-28116</v>
      </c>
      <c r="C136" s="4">
        <v>-22086</v>
      </c>
      <c r="D136" s="4">
        <v>-5226</v>
      </c>
      <c r="E136" s="4">
        <v>-3813</v>
      </c>
      <c r="F136" s="4">
        <v>-3366</v>
      </c>
      <c r="G136" s="4">
        <v>-1905</v>
      </c>
      <c r="H136" s="3">
        <v>-735.81</v>
      </c>
      <c r="I136" s="3">
        <v>-578.99</v>
      </c>
      <c r="J136" s="3">
        <v>-242.22</v>
      </c>
      <c r="K136" s="3">
        <v>-278.58999999999997</v>
      </c>
      <c r="L136" s="3">
        <v>-825.21</v>
      </c>
      <c r="M136" s="4">
        <v>-1239</v>
      </c>
      <c r="N136" s="4">
        <v>-1759</v>
      </c>
      <c r="O136" s="4">
        <v>-2629</v>
      </c>
      <c r="P136" s="4">
        <v>-2740</v>
      </c>
      <c r="Q136" s="4">
        <v>-2635</v>
      </c>
      <c r="R136" s="4">
        <v>-2105</v>
      </c>
      <c r="S136" s="4">
        <v>-1019</v>
      </c>
      <c r="T136" s="3">
        <v>-222.01</v>
      </c>
      <c r="U136" s="3">
        <v>203.67</v>
      </c>
      <c r="V136" s="3" t="s">
        <v>65</v>
      </c>
    </row>
    <row r="137" spans="1:22" x14ac:dyDescent="0.2">
      <c r="A137" s="3" t="s">
        <v>412</v>
      </c>
      <c r="B137" s="3" t="s">
        <v>12</v>
      </c>
      <c r="C137" s="4">
        <v>6214</v>
      </c>
      <c r="D137" s="3" t="s">
        <v>12</v>
      </c>
      <c r="E137" s="3" t="s">
        <v>12</v>
      </c>
      <c r="F137" s="3" t="s">
        <v>12</v>
      </c>
      <c r="G137" s="3" t="s">
        <v>12</v>
      </c>
      <c r="H137" s="3" t="s">
        <v>12</v>
      </c>
      <c r="I137" s="3" t="s">
        <v>12</v>
      </c>
      <c r="J137" s="3" t="s">
        <v>12</v>
      </c>
      <c r="K137" s="3">
        <v>215.79</v>
      </c>
      <c r="L137" s="3" t="s">
        <v>12</v>
      </c>
      <c r="M137" s="3" t="s">
        <v>12</v>
      </c>
      <c r="N137" s="3" t="s">
        <v>12</v>
      </c>
      <c r="O137" s="4">
        <v>1550</v>
      </c>
      <c r="P137" s="3" t="s">
        <v>12</v>
      </c>
      <c r="Q137" s="3" t="s">
        <v>12</v>
      </c>
      <c r="R137" s="3" t="s">
        <v>12</v>
      </c>
      <c r="S137" s="3">
        <v>496.47</v>
      </c>
      <c r="T137" s="3" t="s">
        <v>12</v>
      </c>
      <c r="U137" s="3" t="s">
        <v>12</v>
      </c>
      <c r="V137" s="3" t="s">
        <v>65</v>
      </c>
    </row>
    <row r="138" spans="1:22" x14ac:dyDescent="0.2">
      <c r="A138" s="3" t="s">
        <v>160</v>
      </c>
      <c r="B138" s="4">
        <v>6810</v>
      </c>
      <c r="C138" s="4">
        <v>6214</v>
      </c>
      <c r="D138" s="4">
        <v>3214</v>
      </c>
      <c r="E138" s="4">
        <v>2204</v>
      </c>
      <c r="F138" s="4">
        <v>1404</v>
      </c>
      <c r="G138" s="3" t="s">
        <v>12</v>
      </c>
      <c r="H138" s="3" t="s">
        <v>12</v>
      </c>
      <c r="I138" s="3" t="s">
        <v>12</v>
      </c>
      <c r="J138" s="3">
        <v>11.1</v>
      </c>
      <c r="K138" s="3">
        <v>215.79</v>
      </c>
      <c r="L138" s="3">
        <v>215.79</v>
      </c>
      <c r="M138" s="3">
        <v>215.79</v>
      </c>
      <c r="N138" s="3">
        <v>704.69</v>
      </c>
      <c r="O138" s="4">
        <v>1550</v>
      </c>
      <c r="P138" s="4">
        <v>2046</v>
      </c>
      <c r="Q138" s="4">
        <v>2046</v>
      </c>
      <c r="R138" s="4">
        <v>1546</v>
      </c>
      <c r="S138" s="3">
        <v>496.47</v>
      </c>
      <c r="T138" s="3" t="s">
        <v>12</v>
      </c>
      <c r="U138" s="3" t="s">
        <v>12</v>
      </c>
      <c r="V138" s="3" t="s">
        <v>65</v>
      </c>
    </row>
    <row r="139" spans="1:22" x14ac:dyDescent="0.2">
      <c r="A139" s="3" t="s">
        <v>161</v>
      </c>
      <c r="B139" s="3" t="s">
        <v>12</v>
      </c>
      <c r="C139" s="3">
        <v>-516.35</v>
      </c>
      <c r="D139" s="3" t="s">
        <v>12</v>
      </c>
      <c r="E139" s="3" t="s">
        <v>12</v>
      </c>
      <c r="F139" s="3" t="s">
        <v>12</v>
      </c>
      <c r="G139" s="3">
        <v>-160.55000000000001</v>
      </c>
      <c r="H139" s="3" t="s">
        <v>12</v>
      </c>
      <c r="I139" s="3" t="s">
        <v>12</v>
      </c>
      <c r="J139" s="3" t="s">
        <v>12</v>
      </c>
      <c r="K139" s="3">
        <v>-0.25</v>
      </c>
      <c r="L139" s="3" t="s">
        <v>12</v>
      </c>
      <c r="M139" s="3" t="s">
        <v>12</v>
      </c>
      <c r="N139" s="3" t="s">
        <v>12</v>
      </c>
      <c r="O139" s="3" t="s">
        <v>12</v>
      </c>
      <c r="P139" s="3" t="s">
        <v>12</v>
      </c>
      <c r="Q139" s="3" t="s">
        <v>12</v>
      </c>
      <c r="R139" s="3" t="s">
        <v>12</v>
      </c>
      <c r="S139" s="3" t="s">
        <v>12</v>
      </c>
      <c r="T139" s="3" t="s">
        <v>12</v>
      </c>
      <c r="U139" s="3" t="s">
        <v>12</v>
      </c>
      <c r="V139" s="3" t="s">
        <v>65</v>
      </c>
    </row>
    <row r="140" spans="1:22" x14ac:dyDescent="0.2">
      <c r="A140" s="3" t="s">
        <v>162</v>
      </c>
      <c r="B140" s="3">
        <v>-516.5</v>
      </c>
      <c r="C140" s="3">
        <v>-516.35</v>
      </c>
      <c r="D140" s="3">
        <v>-516.26</v>
      </c>
      <c r="E140" s="3">
        <v>-0.56999999999999995</v>
      </c>
      <c r="F140" s="3">
        <v>-0.65</v>
      </c>
      <c r="G140" s="3">
        <v>-160.55000000000001</v>
      </c>
      <c r="H140" s="3">
        <v>-160.54</v>
      </c>
      <c r="I140" s="3">
        <v>-160.53</v>
      </c>
      <c r="J140" s="3">
        <v>-160.27000000000001</v>
      </c>
      <c r="K140" s="3">
        <v>-0.25</v>
      </c>
      <c r="L140" s="3">
        <v>-0.12</v>
      </c>
      <c r="M140" s="3" t="s">
        <v>12</v>
      </c>
      <c r="N140" s="3" t="s">
        <v>12</v>
      </c>
      <c r="O140" s="3" t="s">
        <v>12</v>
      </c>
      <c r="P140" s="3" t="s">
        <v>12</v>
      </c>
      <c r="Q140" s="3" t="s">
        <v>12</v>
      </c>
      <c r="R140" s="3" t="s">
        <v>12</v>
      </c>
      <c r="S140" s="3" t="s">
        <v>12</v>
      </c>
      <c r="T140" s="3" t="s">
        <v>12</v>
      </c>
      <c r="U140" s="3" t="s">
        <v>12</v>
      </c>
      <c r="V140" s="3" t="s">
        <v>65</v>
      </c>
    </row>
    <row r="141" spans="1:22" x14ac:dyDescent="0.2">
      <c r="A141" s="3" t="s">
        <v>163</v>
      </c>
      <c r="B141" s="4">
        <v>6293</v>
      </c>
      <c r="C141" s="4">
        <v>5697</v>
      </c>
      <c r="D141" s="4">
        <v>2697</v>
      </c>
      <c r="E141" s="4">
        <v>2203</v>
      </c>
      <c r="F141" s="4">
        <v>1403</v>
      </c>
      <c r="G141" s="3">
        <v>-160.55000000000001</v>
      </c>
      <c r="H141" s="3">
        <v>-160.54</v>
      </c>
      <c r="I141" s="3">
        <v>-160.53</v>
      </c>
      <c r="J141" s="3">
        <v>-149.16999999999999</v>
      </c>
      <c r="K141" s="3">
        <v>215.55</v>
      </c>
      <c r="L141" s="3">
        <v>215.67</v>
      </c>
      <c r="M141" s="3">
        <v>215.79</v>
      </c>
      <c r="N141" s="3">
        <v>704.69</v>
      </c>
      <c r="O141" s="4">
        <v>1550</v>
      </c>
      <c r="P141" s="4">
        <v>2046</v>
      </c>
      <c r="Q141" s="4">
        <v>2046</v>
      </c>
      <c r="R141" s="4">
        <v>1546</v>
      </c>
      <c r="S141" s="3">
        <v>496.47</v>
      </c>
      <c r="T141" s="3" t="s">
        <v>12</v>
      </c>
      <c r="U141" s="3" t="s">
        <v>12</v>
      </c>
      <c r="V141" s="3" t="s">
        <v>65</v>
      </c>
    </row>
    <row r="142" spans="1:22" x14ac:dyDescent="0.2">
      <c r="A142" s="3" t="s">
        <v>207</v>
      </c>
      <c r="B142" s="4">
        <v>20696</v>
      </c>
      <c r="C142" s="4">
        <v>16552</v>
      </c>
      <c r="D142" s="4">
        <v>2630</v>
      </c>
      <c r="E142" s="4">
        <v>1666</v>
      </c>
      <c r="F142" s="4">
        <v>1988</v>
      </c>
      <c r="G142" s="4">
        <v>2064</v>
      </c>
      <c r="H142" s="3">
        <v>888.77</v>
      </c>
      <c r="I142" s="3">
        <v>739.49</v>
      </c>
      <c r="J142" s="3">
        <v>399.56</v>
      </c>
      <c r="K142" s="3">
        <v>52.46</v>
      </c>
      <c r="L142" s="3">
        <v>611.11</v>
      </c>
      <c r="M142" s="4">
        <v>1023</v>
      </c>
      <c r="N142" s="4">
        <v>1023</v>
      </c>
      <c r="O142" s="4">
        <v>1044</v>
      </c>
      <c r="P142" s="3">
        <v>639.20000000000005</v>
      </c>
      <c r="Q142" s="3">
        <v>226.81</v>
      </c>
      <c r="R142" s="3">
        <v>228.12</v>
      </c>
      <c r="S142" s="3">
        <v>204.61</v>
      </c>
      <c r="T142" s="3">
        <v>4.74</v>
      </c>
      <c r="U142" s="3">
        <v>6.64</v>
      </c>
      <c r="V142" s="3" t="s">
        <v>65</v>
      </c>
    </row>
    <row r="143" spans="1:22" x14ac:dyDescent="0.2">
      <c r="A143" s="3" t="s">
        <v>198</v>
      </c>
      <c r="B143" s="3">
        <v>-0.93</v>
      </c>
      <c r="C143" s="3">
        <v>-2.17</v>
      </c>
      <c r="D143" s="3">
        <v>-4.9000000000000004</v>
      </c>
      <c r="E143" s="3">
        <v>-5.56</v>
      </c>
      <c r="F143" s="3">
        <v>-4.8600000000000003</v>
      </c>
      <c r="G143" s="3">
        <v>-4.1100000000000003</v>
      </c>
      <c r="H143" s="3">
        <v>-2.37</v>
      </c>
      <c r="I143" s="3">
        <v>-2.27</v>
      </c>
      <c r="J143" s="3">
        <v>-2.08</v>
      </c>
      <c r="K143" s="3">
        <v>-2.08</v>
      </c>
      <c r="L143" s="3">
        <v>-5.8</v>
      </c>
      <c r="M143" s="3">
        <v>-5.24</v>
      </c>
      <c r="N143" s="3">
        <v>-5.19</v>
      </c>
      <c r="O143" s="3">
        <v>-4.7</v>
      </c>
      <c r="P143" s="3">
        <v>-0.74</v>
      </c>
      <c r="Q143" s="3">
        <v>-61.35</v>
      </c>
      <c r="R143" s="3">
        <v>-72.48</v>
      </c>
      <c r="S143" s="3">
        <v>-123.22</v>
      </c>
      <c r="T143" s="3">
        <v>-146.96</v>
      </c>
      <c r="U143" s="3">
        <v>-86.35</v>
      </c>
      <c r="V143" s="3" t="s">
        <v>65</v>
      </c>
    </row>
    <row r="144" spans="1:22" x14ac:dyDescent="0.2">
      <c r="A144" s="3" t="s">
        <v>535</v>
      </c>
      <c r="B144" s="3">
        <v>-9.19</v>
      </c>
      <c r="C144" s="3" t="s">
        <v>12</v>
      </c>
      <c r="D144" s="3" t="s">
        <v>12</v>
      </c>
      <c r="E144" s="3" t="s">
        <v>12</v>
      </c>
      <c r="F144" s="3" t="s">
        <v>12</v>
      </c>
      <c r="G144" s="3" t="s">
        <v>12</v>
      </c>
      <c r="H144" s="3" t="s">
        <v>12</v>
      </c>
      <c r="I144" s="3" t="s">
        <v>12</v>
      </c>
      <c r="J144" s="3" t="s">
        <v>12</v>
      </c>
      <c r="K144" s="3" t="s">
        <v>12</v>
      </c>
      <c r="L144" s="3" t="s">
        <v>12</v>
      </c>
      <c r="M144" s="3" t="s">
        <v>12</v>
      </c>
      <c r="N144" s="3" t="s">
        <v>12</v>
      </c>
      <c r="O144" s="3" t="s">
        <v>12</v>
      </c>
      <c r="P144" s="3" t="s">
        <v>12</v>
      </c>
      <c r="Q144" s="3" t="s">
        <v>12</v>
      </c>
      <c r="R144" s="3" t="s">
        <v>12</v>
      </c>
      <c r="S144" s="3" t="s">
        <v>12</v>
      </c>
      <c r="T144" s="3" t="s">
        <v>12</v>
      </c>
      <c r="U144" s="3" t="s">
        <v>12</v>
      </c>
      <c r="V144" s="3" t="s">
        <v>65</v>
      </c>
    </row>
    <row r="145" spans="1:22" x14ac:dyDescent="0.2">
      <c r="A145" s="3" t="s">
        <v>313</v>
      </c>
      <c r="B145" s="3">
        <v>-9.19</v>
      </c>
      <c r="C145" s="3" t="s">
        <v>12</v>
      </c>
      <c r="D145" s="3" t="s">
        <v>12</v>
      </c>
      <c r="E145" s="3" t="s">
        <v>12</v>
      </c>
      <c r="F145" s="3" t="s">
        <v>12</v>
      </c>
      <c r="G145" s="3" t="s">
        <v>12</v>
      </c>
      <c r="H145" s="3" t="s">
        <v>12</v>
      </c>
      <c r="I145" s="3" t="s">
        <v>12</v>
      </c>
      <c r="J145" s="3" t="s">
        <v>12</v>
      </c>
      <c r="K145" s="3" t="s">
        <v>12</v>
      </c>
      <c r="L145" s="3" t="s">
        <v>12</v>
      </c>
      <c r="M145" s="3" t="s">
        <v>12</v>
      </c>
      <c r="N145" s="3" t="s">
        <v>12</v>
      </c>
      <c r="O145" s="3" t="s">
        <v>12</v>
      </c>
      <c r="P145" s="3" t="s">
        <v>12</v>
      </c>
      <c r="Q145" s="3" t="s">
        <v>12</v>
      </c>
      <c r="R145" s="3" t="s">
        <v>12</v>
      </c>
      <c r="S145" s="3" t="s">
        <v>12</v>
      </c>
      <c r="T145" s="3" t="s">
        <v>12</v>
      </c>
      <c r="U145" s="3" t="s">
        <v>12</v>
      </c>
      <c r="V145" s="3" t="s">
        <v>65</v>
      </c>
    </row>
    <row r="146" spans="1:22" x14ac:dyDescent="0.2">
      <c r="A146" s="3" t="s">
        <v>164</v>
      </c>
      <c r="B146" s="3">
        <v>-137.88999999999999</v>
      </c>
      <c r="C146" s="3">
        <v>-114.2</v>
      </c>
      <c r="D146" s="3">
        <v>-62.56</v>
      </c>
      <c r="E146" s="3">
        <v>-48.13</v>
      </c>
      <c r="F146" s="3">
        <v>-35.78</v>
      </c>
      <c r="G146" s="3">
        <v>-9.14</v>
      </c>
      <c r="H146" s="3">
        <v>-4.7</v>
      </c>
      <c r="I146" s="3">
        <v>-4.08</v>
      </c>
      <c r="J146" s="3">
        <v>-2.78</v>
      </c>
      <c r="K146" s="3">
        <v>-0.74</v>
      </c>
      <c r="L146" s="3">
        <v>-5.41</v>
      </c>
      <c r="M146" s="3">
        <v>-11.4</v>
      </c>
      <c r="N146" s="3">
        <v>-22.53</v>
      </c>
      <c r="O146" s="3">
        <v>-47.13</v>
      </c>
      <c r="P146" s="3">
        <v>-56.66</v>
      </c>
      <c r="Q146" s="3">
        <v>-50.64</v>
      </c>
      <c r="R146" s="3">
        <v>-39.22</v>
      </c>
      <c r="S146" s="3">
        <v>-14.63</v>
      </c>
      <c r="T146" s="3" t="s">
        <v>12</v>
      </c>
      <c r="U146" s="3" t="s">
        <v>12</v>
      </c>
      <c r="V146" s="3" t="s">
        <v>65</v>
      </c>
    </row>
    <row r="147" spans="1:22" x14ac:dyDescent="0.2">
      <c r="A147" s="3" t="s">
        <v>165</v>
      </c>
      <c r="B147" s="4">
        <v>28179</v>
      </c>
      <c r="C147" s="4">
        <v>22133</v>
      </c>
      <c r="D147" s="4">
        <v>5260</v>
      </c>
      <c r="E147" s="4">
        <v>3816</v>
      </c>
      <c r="F147" s="4">
        <v>3351</v>
      </c>
      <c r="G147" s="4">
        <v>1890</v>
      </c>
      <c r="H147" s="3">
        <v>721.16</v>
      </c>
      <c r="I147" s="3">
        <v>572.61</v>
      </c>
      <c r="J147" s="3">
        <v>245.52</v>
      </c>
      <c r="K147" s="3">
        <v>265.19</v>
      </c>
      <c r="L147" s="3">
        <v>815.57</v>
      </c>
      <c r="M147" s="4">
        <v>1222</v>
      </c>
      <c r="N147" s="4">
        <v>1700</v>
      </c>
      <c r="O147" s="4">
        <v>2542</v>
      </c>
      <c r="P147" s="4">
        <v>2628</v>
      </c>
      <c r="Q147" s="4">
        <v>2161</v>
      </c>
      <c r="R147" s="4">
        <v>1663</v>
      </c>
      <c r="S147" s="3">
        <v>563.23</v>
      </c>
      <c r="T147" s="3">
        <v>-142.21</v>
      </c>
      <c r="U147" s="3">
        <v>-79.72</v>
      </c>
      <c r="V147" s="3" t="s">
        <v>65</v>
      </c>
    </row>
    <row r="148" spans="1:22" x14ac:dyDescent="0.2">
      <c r="A148" s="3" t="s">
        <v>199</v>
      </c>
      <c r="B148" s="3">
        <v>-0.23</v>
      </c>
      <c r="C148" s="3">
        <v>-2.15</v>
      </c>
      <c r="D148" s="3">
        <v>1.52</v>
      </c>
      <c r="E148" s="3">
        <v>-0.88</v>
      </c>
      <c r="F148" s="3">
        <v>-0.99</v>
      </c>
      <c r="G148" s="3">
        <v>0.44</v>
      </c>
      <c r="H148" s="3">
        <v>1.23</v>
      </c>
      <c r="I148" s="3">
        <v>-0.39</v>
      </c>
      <c r="J148" s="3">
        <v>-2.7</v>
      </c>
      <c r="K148" s="3">
        <v>-3.38</v>
      </c>
      <c r="L148" s="3">
        <v>-6.17</v>
      </c>
      <c r="M148" s="3">
        <v>-4.8600000000000003</v>
      </c>
      <c r="N148" s="3">
        <v>-0.77</v>
      </c>
      <c r="O148" s="3">
        <v>-2.61</v>
      </c>
      <c r="P148" s="3">
        <v>-0.09</v>
      </c>
      <c r="Q148" s="3">
        <v>4.97</v>
      </c>
      <c r="R148" s="3">
        <v>6.5</v>
      </c>
      <c r="S148" s="3">
        <v>4.78</v>
      </c>
      <c r="T148" s="3">
        <v>5.39</v>
      </c>
      <c r="U148" s="3">
        <v>-2.56</v>
      </c>
      <c r="V148" s="3" t="s">
        <v>65</v>
      </c>
    </row>
    <row r="149" spans="1:22" x14ac:dyDescent="0.2">
      <c r="A149" s="3" t="s">
        <v>166</v>
      </c>
      <c r="B149" s="3">
        <v>-21.47</v>
      </c>
      <c r="C149" s="3">
        <v>-8.7799999999999994</v>
      </c>
      <c r="D149" s="3">
        <v>1.33</v>
      </c>
      <c r="E149" s="3">
        <v>0.75</v>
      </c>
      <c r="F149" s="3">
        <v>-12.74</v>
      </c>
      <c r="G149" s="3">
        <v>-2.2000000000000002</v>
      </c>
      <c r="H149" s="3">
        <v>-20.09</v>
      </c>
      <c r="I149" s="3">
        <v>-7.49</v>
      </c>
      <c r="J149" s="3">
        <v>-2.48</v>
      </c>
      <c r="K149" s="3">
        <v>-13.57</v>
      </c>
      <c r="L149" s="3">
        <v>8.84</v>
      </c>
      <c r="M149" s="3">
        <v>17.940000000000001</v>
      </c>
      <c r="N149" s="3">
        <v>15.2</v>
      </c>
      <c r="O149" s="3">
        <v>3.68</v>
      </c>
      <c r="P149" s="3">
        <v>4.24</v>
      </c>
      <c r="Q149" s="3">
        <v>-364.52</v>
      </c>
      <c r="R149" s="3">
        <v>-348.28</v>
      </c>
      <c r="S149" s="3">
        <v>-397.06</v>
      </c>
      <c r="T149" s="3">
        <v>-321.99</v>
      </c>
      <c r="U149" s="3">
        <v>159.58000000000001</v>
      </c>
      <c r="V149" s="3" t="s">
        <v>65</v>
      </c>
    </row>
    <row r="150" spans="1:22" x14ac:dyDescent="0.2">
      <c r="A150" s="3" t="s">
        <v>6</v>
      </c>
      <c r="B150" s="3">
        <v>-104.68</v>
      </c>
      <c r="C150" s="3">
        <v>-66.510000000000005</v>
      </c>
      <c r="D150" s="3">
        <v>-37.57</v>
      </c>
      <c r="E150" s="3">
        <v>-5.0199999999999996</v>
      </c>
      <c r="F150" s="3">
        <v>-0.08</v>
      </c>
      <c r="G150" s="3">
        <v>9.77</v>
      </c>
      <c r="H150" s="3">
        <v>-9.9</v>
      </c>
      <c r="I150" s="3">
        <v>-2.83</v>
      </c>
      <c r="J150" s="3">
        <v>-5.42</v>
      </c>
      <c r="K150" s="3">
        <v>0.73</v>
      </c>
      <c r="L150" s="3">
        <v>21.98</v>
      </c>
      <c r="M150" s="3">
        <v>37.14</v>
      </c>
      <c r="N150" s="3">
        <v>71.91</v>
      </c>
      <c r="O150" s="3">
        <v>91.13</v>
      </c>
      <c r="P150" s="3">
        <v>111.54</v>
      </c>
      <c r="Q150" s="3">
        <v>99.94</v>
      </c>
      <c r="R150" s="3">
        <v>83.82</v>
      </c>
      <c r="S150" s="3">
        <v>49.97</v>
      </c>
      <c r="T150" s="3">
        <v>34.880000000000003</v>
      </c>
      <c r="U150" s="3">
        <v>35.270000000000003</v>
      </c>
      <c r="V150" s="3" t="s">
        <v>65</v>
      </c>
    </row>
    <row r="151" spans="1:22" x14ac:dyDescent="0.2">
      <c r="A151" s="3" t="s">
        <v>200</v>
      </c>
      <c r="B151" s="3" t="s">
        <v>12</v>
      </c>
      <c r="C151" s="3" t="s">
        <v>12</v>
      </c>
      <c r="D151" s="3" t="s">
        <v>12</v>
      </c>
      <c r="E151" s="3" t="s">
        <v>12</v>
      </c>
      <c r="F151" s="3" t="s">
        <v>12</v>
      </c>
      <c r="G151" s="5">
        <v>12.481400000000001</v>
      </c>
      <c r="H151" s="3" t="s">
        <v>12</v>
      </c>
      <c r="I151" s="3" t="s">
        <v>12</v>
      </c>
      <c r="J151" s="3" t="s">
        <v>12</v>
      </c>
      <c r="K151" s="5">
        <v>-0.99199999999999999</v>
      </c>
      <c r="L151" s="5">
        <v>-0.80289999999999995</v>
      </c>
      <c r="M151" s="5">
        <v>-0.62839999999999996</v>
      </c>
      <c r="N151" s="5">
        <v>-0.14199999999999999</v>
      </c>
      <c r="O151" s="5">
        <v>0.82369999999999999</v>
      </c>
      <c r="P151" s="5">
        <v>2.1978</v>
      </c>
      <c r="Q151" s="5">
        <v>1.8332999999999999</v>
      </c>
      <c r="R151" s="5">
        <v>0.42909999999999998</v>
      </c>
      <c r="S151" s="5">
        <v>-1.4200000000000001E-2</v>
      </c>
      <c r="T151" s="5">
        <v>0.24879999999999999</v>
      </c>
      <c r="U151" s="5">
        <v>0.47789999999999999</v>
      </c>
      <c r="V151" s="3" t="s">
        <v>65</v>
      </c>
    </row>
    <row r="152" spans="1:22" x14ac:dyDescent="0.2">
      <c r="A152" s="3" t="s">
        <v>117</v>
      </c>
      <c r="B152" s="5">
        <v>-0.22789999999999999</v>
      </c>
      <c r="C152" s="5">
        <v>-0.14349999999999999</v>
      </c>
      <c r="D152" s="5">
        <v>-8.0399999999999999E-2</v>
      </c>
      <c r="E152" s="5">
        <v>-1.04E-2</v>
      </c>
      <c r="F152" s="5">
        <v>-2.0000000000000001E-4</v>
      </c>
      <c r="G152" s="5">
        <v>1.9699999999999999E-2</v>
      </c>
      <c r="H152" s="5">
        <v>-1.9599999999999999E-2</v>
      </c>
      <c r="I152" s="5">
        <v>-5.7000000000000002E-3</v>
      </c>
      <c r="J152" s="5">
        <v>-1.0800000000000001E-2</v>
      </c>
      <c r="K152" s="5">
        <v>1.4E-3</v>
      </c>
      <c r="L152" s="5">
        <v>4.3799999999999999E-2</v>
      </c>
      <c r="M152" s="5">
        <v>7.3700000000000002E-2</v>
      </c>
      <c r="N152" s="5">
        <v>0.14180000000000001</v>
      </c>
      <c r="O152" s="5">
        <v>0.1784</v>
      </c>
      <c r="P152" s="5">
        <v>0.2198</v>
      </c>
      <c r="Q152" s="5">
        <v>0.1971</v>
      </c>
      <c r="R152" s="5">
        <v>0.17030000000000001</v>
      </c>
      <c r="S152" s="5">
        <v>0.10390000000000001</v>
      </c>
      <c r="T152" s="5">
        <v>7.22E-2</v>
      </c>
      <c r="U152" s="5">
        <v>7.4200000000000002E-2</v>
      </c>
      <c r="V152" s="3" t="s">
        <v>65</v>
      </c>
    </row>
    <row r="153" spans="1:22" x14ac:dyDescent="0.2">
      <c r="A153" s="3" t="s">
        <v>18</v>
      </c>
      <c r="B153" s="3">
        <v>-0.49</v>
      </c>
      <c r="C153" s="3">
        <v>-0.34</v>
      </c>
      <c r="D153" s="3">
        <v>-0.2</v>
      </c>
      <c r="E153" s="3">
        <v>-0.03</v>
      </c>
      <c r="F153" s="3">
        <v>0</v>
      </c>
      <c r="G153" s="3">
        <v>0.06</v>
      </c>
      <c r="H153" s="3">
        <v>-7.0000000000000007E-2</v>
      </c>
      <c r="I153" s="3">
        <v>-0.02</v>
      </c>
      <c r="J153" s="3">
        <v>-0.05</v>
      </c>
      <c r="K153" s="3">
        <v>0.01</v>
      </c>
      <c r="L153" s="3">
        <v>0.2</v>
      </c>
      <c r="M153" s="3">
        <v>0.34</v>
      </c>
      <c r="N153" s="3">
        <v>0.69</v>
      </c>
      <c r="O153" s="3">
        <v>0.91</v>
      </c>
      <c r="P153" s="3">
        <v>1.1499999999999999</v>
      </c>
      <c r="Q153" s="3">
        <v>1.04</v>
      </c>
      <c r="R153" s="3">
        <v>0.87</v>
      </c>
      <c r="S153" s="3">
        <v>0.52</v>
      </c>
      <c r="T153" s="3">
        <v>0.35</v>
      </c>
      <c r="U153" s="3">
        <v>0.35</v>
      </c>
      <c r="V153" s="3" t="s">
        <v>65</v>
      </c>
    </row>
    <row r="154" spans="1:22" x14ac:dyDescent="0.2">
      <c r="A154" s="3" t="s">
        <v>167</v>
      </c>
      <c r="B154" s="3">
        <v>44.57</v>
      </c>
      <c r="C154" s="3">
        <v>44.57</v>
      </c>
      <c r="D154" s="3">
        <v>41.23</v>
      </c>
      <c r="E154" s="3">
        <v>41.23</v>
      </c>
      <c r="F154" s="3">
        <v>41.23</v>
      </c>
      <c r="G154" s="3">
        <v>41.23</v>
      </c>
      <c r="H154" s="3">
        <v>43.45</v>
      </c>
      <c r="I154" s="3">
        <v>43.45</v>
      </c>
      <c r="J154" s="3">
        <v>43.45</v>
      </c>
      <c r="K154" s="3">
        <v>43.45</v>
      </c>
      <c r="L154" s="3">
        <v>20.420000000000002</v>
      </c>
      <c r="M154" s="3">
        <v>20.420000000000002</v>
      </c>
      <c r="N154" s="3">
        <v>20.420000000000002</v>
      </c>
      <c r="O154" s="3">
        <v>20.420000000000002</v>
      </c>
      <c r="P154" s="3">
        <v>0.18</v>
      </c>
      <c r="Q154" s="3">
        <v>0.18</v>
      </c>
      <c r="R154" s="3">
        <v>0.18</v>
      </c>
      <c r="S154" s="3">
        <v>0.18</v>
      </c>
      <c r="T154" s="3" t="s">
        <v>12</v>
      </c>
      <c r="U154" s="3" t="s">
        <v>12</v>
      </c>
      <c r="V154" s="3" t="s">
        <v>65</v>
      </c>
    </row>
    <row r="155" spans="1:22" x14ac:dyDescent="0.2">
      <c r="A155" s="3" t="s">
        <v>168</v>
      </c>
      <c r="B155" s="3">
        <v>1.06</v>
      </c>
      <c r="C155" s="3">
        <v>1.06</v>
      </c>
      <c r="D155" s="3">
        <v>30.32</v>
      </c>
      <c r="E155" s="3">
        <v>30.32</v>
      </c>
      <c r="F155" s="3">
        <v>30.32</v>
      </c>
      <c r="G155" s="3">
        <v>30.32</v>
      </c>
      <c r="H155" s="3">
        <v>21.97</v>
      </c>
      <c r="I155" s="3">
        <v>21.97</v>
      </c>
      <c r="J155" s="3">
        <v>21.97</v>
      </c>
      <c r="K155" s="3">
        <v>21.97</v>
      </c>
      <c r="L155" s="3">
        <v>7.01</v>
      </c>
      <c r="M155" s="3">
        <v>7.01</v>
      </c>
      <c r="N155" s="3">
        <v>7.01</v>
      </c>
      <c r="O155" s="3">
        <v>7.01</v>
      </c>
      <c r="P155" s="3">
        <v>6.8</v>
      </c>
      <c r="Q155" s="3">
        <v>6.8</v>
      </c>
      <c r="R155" s="3">
        <v>6.8</v>
      </c>
      <c r="S155" s="3">
        <v>6.8</v>
      </c>
      <c r="T155" s="3">
        <v>5.91</v>
      </c>
      <c r="U155" s="3">
        <v>5.91</v>
      </c>
      <c r="V155" s="3" t="s">
        <v>65</v>
      </c>
    </row>
    <row r="156" spans="1:22" x14ac:dyDescent="0.2">
      <c r="A156" s="3" t="s">
        <v>169</v>
      </c>
      <c r="B156" s="4">
        <v>-4667</v>
      </c>
      <c r="C156" s="4">
        <v>-1061</v>
      </c>
      <c r="D156" s="4">
        <v>-5667</v>
      </c>
      <c r="E156" s="4">
        <v>-4009</v>
      </c>
      <c r="F156" s="3">
        <v>55.63</v>
      </c>
      <c r="G156" s="3">
        <v>-17.46</v>
      </c>
      <c r="H156" s="3">
        <v>-851.34</v>
      </c>
      <c r="I156" s="3">
        <v>-665.71</v>
      </c>
      <c r="J156" s="3">
        <v>-898.49</v>
      </c>
      <c r="K156" s="3">
        <v>-761.01</v>
      </c>
      <c r="L156" s="4">
        <v>-1526</v>
      </c>
      <c r="M156" s="4">
        <v>-1981</v>
      </c>
      <c r="N156" s="4">
        <v>-2148</v>
      </c>
      <c r="O156" s="4">
        <v>-3040</v>
      </c>
      <c r="P156" s="4">
        <v>-3067</v>
      </c>
      <c r="Q156" s="4">
        <v>-3068</v>
      </c>
      <c r="R156" s="4">
        <v>-2293</v>
      </c>
      <c r="S156" s="4">
        <v>-1120</v>
      </c>
      <c r="T156" s="3">
        <v>-417.13</v>
      </c>
      <c r="U156" s="3">
        <v>29.23</v>
      </c>
      <c r="V156" s="3" t="s">
        <v>65</v>
      </c>
    </row>
    <row r="157" spans="1:22" x14ac:dyDescent="0.2">
      <c r="A157" s="3" t="s">
        <v>170</v>
      </c>
      <c r="B157" s="4">
        <v>-4644</v>
      </c>
      <c r="C157" s="4">
        <v>-1038</v>
      </c>
      <c r="D157" s="4">
        <v>-5644</v>
      </c>
      <c r="E157" s="4">
        <v>-3989</v>
      </c>
      <c r="F157" s="3">
        <v>75.19</v>
      </c>
      <c r="G157" s="3">
        <v>4.34</v>
      </c>
      <c r="H157" s="3">
        <v>-827.73</v>
      </c>
      <c r="I157" s="3">
        <v>-640.16999999999996</v>
      </c>
      <c r="J157" s="3">
        <v>-871.62</v>
      </c>
      <c r="K157" s="3">
        <v>-736.49</v>
      </c>
      <c r="L157" s="4">
        <v>-1503</v>
      </c>
      <c r="M157" s="4">
        <v>-1960</v>
      </c>
      <c r="N157" s="4">
        <v>-2133</v>
      </c>
      <c r="O157" s="4">
        <v>-3029</v>
      </c>
      <c r="P157" s="4">
        <v>-3061</v>
      </c>
      <c r="Q157" s="4">
        <v>-3067</v>
      </c>
      <c r="R157" s="4">
        <v>-2293</v>
      </c>
      <c r="S157" s="4">
        <v>-1122</v>
      </c>
      <c r="T157" s="3">
        <v>-417.13</v>
      </c>
      <c r="U157" s="3">
        <v>29.23</v>
      </c>
      <c r="V157" s="3" t="s">
        <v>65</v>
      </c>
    </row>
    <row r="158" spans="1:22" x14ac:dyDescent="0.2">
      <c r="A158" s="3" t="s">
        <v>171</v>
      </c>
      <c r="B158" s="3">
        <v>-15.8</v>
      </c>
      <c r="C158" s="3">
        <v>-38.979999999999997</v>
      </c>
      <c r="D158" s="3">
        <v>-35.21</v>
      </c>
      <c r="E158" s="3">
        <v>-30.8</v>
      </c>
      <c r="F158" s="3">
        <v>-2.48</v>
      </c>
      <c r="G158" s="3">
        <v>4.92</v>
      </c>
      <c r="H158" s="3">
        <v>5.93</v>
      </c>
      <c r="I158" s="3">
        <v>-4.99</v>
      </c>
      <c r="J158" s="3">
        <v>3.99</v>
      </c>
      <c r="K158" s="3">
        <v>11.16</v>
      </c>
      <c r="L158" s="3">
        <v>-15.12</v>
      </c>
      <c r="M158" s="3">
        <v>-10.87</v>
      </c>
      <c r="N158" s="3">
        <v>-45.81</v>
      </c>
      <c r="O158" s="3">
        <v>-34.700000000000003</v>
      </c>
      <c r="P158" s="3">
        <v>-35.700000000000003</v>
      </c>
      <c r="Q158" s="3">
        <v>-24.94</v>
      </c>
      <c r="R158" s="3">
        <v>-15.51</v>
      </c>
      <c r="S158" s="3">
        <v>9.35</v>
      </c>
      <c r="T158" s="3">
        <v>10.119999999999999</v>
      </c>
      <c r="U158" s="3">
        <v>0.94</v>
      </c>
      <c r="V158" s="3" t="s">
        <v>65</v>
      </c>
    </row>
    <row r="167" spans="1:23" x14ac:dyDescent="0.2">
      <c r="A167" s="1" t="s">
        <v>100</v>
      </c>
      <c r="B167" s="1" t="s">
        <v>172</v>
      </c>
      <c r="C167" s="1" t="s">
        <v>432</v>
      </c>
      <c r="D167" s="1" t="s">
        <v>101</v>
      </c>
      <c r="E167" s="1" t="s">
        <v>102</v>
      </c>
      <c r="F167" s="1" t="s">
        <v>180</v>
      </c>
      <c r="G167" s="1" t="s">
        <v>181</v>
      </c>
      <c r="H167" s="1" t="s">
        <v>103</v>
      </c>
      <c r="I167" s="1" t="s">
        <v>182</v>
      </c>
      <c r="J167" s="1" t="s">
        <v>183</v>
      </c>
      <c r="K167" s="1" t="s">
        <v>184</v>
      </c>
      <c r="L167" s="1" t="s">
        <v>104</v>
      </c>
      <c r="M167" s="1" t="s">
        <v>185</v>
      </c>
      <c r="N167" s="1" t="s">
        <v>186</v>
      </c>
      <c r="O167" s="1" t="s">
        <v>187</v>
      </c>
      <c r="P167" s="1" t="s">
        <v>105</v>
      </c>
      <c r="Q167" s="1" t="s">
        <v>188</v>
      </c>
      <c r="R167" s="1" t="s">
        <v>189</v>
      </c>
      <c r="S167" s="1" t="s">
        <v>190</v>
      </c>
      <c r="T167" s="1" t="s">
        <v>503</v>
      </c>
      <c r="U167" s="1" t="s">
        <v>513</v>
      </c>
      <c r="V167" s="1" t="s">
        <v>514</v>
      </c>
      <c r="W167" s="1" t="s">
        <v>476</v>
      </c>
    </row>
    <row r="168" spans="1:23" x14ac:dyDescent="0.2">
      <c r="A168" s="1" t="s">
        <v>10</v>
      </c>
      <c r="B168" s="1" t="s">
        <v>536</v>
      </c>
      <c r="C168" s="1" t="s">
        <v>433</v>
      </c>
      <c r="D168" s="1" t="s">
        <v>413</v>
      </c>
      <c r="E168" s="1" t="s">
        <v>414</v>
      </c>
      <c r="F168" s="1" t="s">
        <v>405</v>
      </c>
      <c r="G168" s="1" t="s">
        <v>406</v>
      </c>
      <c r="H168" s="1" t="s">
        <v>404</v>
      </c>
      <c r="I168" s="1" t="s">
        <v>415</v>
      </c>
      <c r="J168" s="1" t="s">
        <v>408</v>
      </c>
      <c r="K168" s="1" t="s">
        <v>416</v>
      </c>
      <c r="L168" s="1" t="s">
        <v>417</v>
      </c>
      <c r="M168" s="1" t="s">
        <v>418</v>
      </c>
      <c r="N168" s="1" t="s">
        <v>409</v>
      </c>
      <c r="O168" s="1" t="s">
        <v>419</v>
      </c>
      <c r="P168" s="1" t="s">
        <v>420</v>
      </c>
      <c r="Q168" s="1" t="s">
        <v>421</v>
      </c>
      <c r="R168" s="1" t="s">
        <v>410</v>
      </c>
      <c r="S168" s="1" t="s">
        <v>422</v>
      </c>
      <c r="T168" s="1" t="s">
        <v>423</v>
      </c>
      <c r="U168" s="1" t="s">
        <v>424</v>
      </c>
      <c r="V168" s="1" t="s">
        <v>411</v>
      </c>
      <c r="W168" s="1" t="s">
        <v>476</v>
      </c>
    </row>
    <row r="169" spans="1:23" ht="17" x14ac:dyDescent="0.2">
      <c r="A169" s="12" t="s">
        <v>173</v>
      </c>
      <c r="B169" s="4">
        <v>112015</v>
      </c>
      <c r="C169" s="4">
        <v>75082</v>
      </c>
      <c r="D169" s="4">
        <v>71090</v>
      </c>
      <c r="E169" s="4">
        <v>34164</v>
      </c>
      <c r="F169" s="4">
        <v>24433</v>
      </c>
      <c r="G169" s="4">
        <v>28923</v>
      </c>
      <c r="H169" s="4">
        <v>9877</v>
      </c>
      <c r="I169" s="4">
        <v>4624</v>
      </c>
      <c r="J169" s="4">
        <v>4807</v>
      </c>
      <c r="K169" s="4">
        <v>3376</v>
      </c>
      <c r="L169" s="4">
        <v>1602</v>
      </c>
      <c r="M169" s="4">
        <v>2400</v>
      </c>
      <c r="N169" s="4">
        <v>1856</v>
      </c>
      <c r="O169" s="4">
        <v>5488</v>
      </c>
      <c r="P169" s="4">
        <v>5796</v>
      </c>
      <c r="Q169" s="4">
        <v>5821</v>
      </c>
      <c r="R169" s="4">
        <v>6477</v>
      </c>
      <c r="S169" s="4">
        <v>6508</v>
      </c>
      <c r="T169" s="4">
        <v>3601</v>
      </c>
      <c r="U169" s="4">
        <v>1393</v>
      </c>
      <c r="V169" s="4">
        <v>1155</v>
      </c>
      <c r="W169" s="3" t="s">
        <v>65</v>
      </c>
    </row>
    <row r="170" spans="1:23" x14ac:dyDescent="0.2">
      <c r="A170" s="3" t="s">
        <v>201</v>
      </c>
      <c r="B170" s="5">
        <v>1.5959000000000001</v>
      </c>
      <c r="C170" s="5">
        <v>1.5959000000000001</v>
      </c>
      <c r="D170" s="5">
        <v>6.1978</v>
      </c>
      <c r="E170" s="5">
        <v>6.3879000000000001</v>
      </c>
      <c r="F170" s="5">
        <v>4.0830000000000002</v>
      </c>
      <c r="G170" s="5">
        <v>7.5674999999999999</v>
      </c>
      <c r="H170" s="5">
        <v>5.1642000000000001</v>
      </c>
      <c r="I170" s="5">
        <v>0.92700000000000005</v>
      </c>
      <c r="J170" s="5">
        <v>1.5895999999999999</v>
      </c>
      <c r="K170" s="5">
        <v>-0.38490000000000002</v>
      </c>
      <c r="L170" s="5">
        <v>-0.72360000000000002</v>
      </c>
      <c r="M170" s="5">
        <v>-0.5877</v>
      </c>
      <c r="N170" s="5">
        <v>-0.71340000000000003</v>
      </c>
      <c r="O170" s="5">
        <v>-0.15659999999999999</v>
      </c>
      <c r="P170" s="5">
        <v>0.60980000000000001</v>
      </c>
      <c r="Q170" s="5">
        <v>3.1777000000000002</v>
      </c>
      <c r="R170" s="5">
        <v>4.6074999999999999</v>
      </c>
      <c r="S170" s="5">
        <v>4.4530000000000003</v>
      </c>
      <c r="T170" s="5">
        <v>1.4588000000000001</v>
      </c>
      <c r="U170" s="5">
        <v>-8.2799999999999999E-2</v>
      </c>
      <c r="V170" s="5">
        <v>-0.21290000000000001</v>
      </c>
      <c r="W170" s="3" t="s">
        <v>65</v>
      </c>
    </row>
    <row r="171" spans="1:23" x14ac:dyDescent="0.2">
      <c r="A171" s="3" t="s">
        <v>9</v>
      </c>
      <c r="B171" s="4">
        <v>119979</v>
      </c>
      <c r="C171" s="4">
        <v>82302</v>
      </c>
      <c r="D171" s="4">
        <v>75314</v>
      </c>
      <c r="E171" s="4">
        <v>38002</v>
      </c>
      <c r="F171" s="4">
        <v>27969</v>
      </c>
      <c r="G171" s="4">
        <v>31131</v>
      </c>
      <c r="H171" s="4">
        <v>12072</v>
      </c>
      <c r="I171" s="4">
        <v>6801</v>
      </c>
      <c r="J171" s="4">
        <v>6954</v>
      </c>
      <c r="K171" s="4">
        <v>5789</v>
      </c>
      <c r="L171" s="4">
        <v>3988</v>
      </c>
      <c r="M171" s="4">
        <v>4777</v>
      </c>
      <c r="N171" s="4">
        <v>4199</v>
      </c>
      <c r="O171" s="4">
        <v>7666</v>
      </c>
      <c r="P171" s="4">
        <v>7981</v>
      </c>
      <c r="Q171" s="4">
        <v>8007</v>
      </c>
      <c r="R171" s="4">
        <v>8148</v>
      </c>
      <c r="S171" s="4">
        <v>7030</v>
      </c>
      <c r="T171" s="4">
        <v>3654</v>
      </c>
      <c r="U171" s="3">
        <v>971</v>
      </c>
      <c r="V171" s="3">
        <v>726</v>
      </c>
      <c r="W171" s="3" t="s">
        <v>65</v>
      </c>
    </row>
    <row r="172" spans="1:23" x14ac:dyDescent="0.2">
      <c r="A172" s="3" t="s">
        <v>202</v>
      </c>
      <c r="B172" s="3">
        <v>394.66</v>
      </c>
      <c r="C172" s="3">
        <v>288.27</v>
      </c>
      <c r="D172" s="3">
        <v>289.62</v>
      </c>
      <c r="E172" s="3">
        <v>168.6</v>
      </c>
      <c r="F172" s="3">
        <v>137.75</v>
      </c>
      <c r="G172" s="3">
        <v>170.46</v>
      </c>
      <c r="H172" s="3">
        <v>63.16</v>
      </c>
      <c r="I172" s="3">
        <v>32.83</v>
      </c>
      <c r="J172" s="3">
        <v>34.24</v>
      </c>
      <c r="K172" s="3">
        <v>29.23</v>
      </c>
      <c r="L172" s="3">
        <v>14.16</v>
      </c>
      <c r="M172" s="3">
        <v>21.23</v>
      </c>
      <c r="N172" s="3">
        <v>16.43</v>
      </c>
      <c r="O172" s="3">
        <v>48.63</v>
      </c>
      <c r="P172" s="3">
        <v>54.45</v>
      </c>
      <c r="Q172" s="3">
        <v>57.84</v>
      </c>
      <c r="R172" s="3">
        <v>66.45</v>
      </c>
      <c r="S172" s="3">
        <v>67.88</v>
      </c>
      <c r="T172" s="3">
        <v>38.85</v>
      </c>
      <c r="U172" s="3">
        <v>15.06</v>
      </c>
      <c r="V172" s="3">
        <v>11.83</v>
      </c>
      <c r="W172" s="3" t="s">
        <v>65</v>
      </c>
    </row>
    <row r="173" spans="1:23" x14ac:dyDescent="0.2">
      <c r="A173" s="3" t="s">
        <v>19</v>
      </c>
      <c r="B173" s="3" t="s">
        <v>12</v>
      </c>
      <c r="C173" s="3" t="s">
        <v>12</v>
      </c>
      <c r="D173" s="3" t="s">
        <v>12</v>
      </c>
      <c r="E173" s="3" t="s">
        <v>12</v>
      </c>
      <c r="F173" s="3" t="s">
        <v>12</v>
      </c>
      <c r="G173" s="3" t="s">
        <v>12</v>
      </c>
      <c r="H173" s="3">
        <v>23.02</v>
      </c>
      <c r="I173" s="3">
        <v>51.2</v>
      </c>
      <c r="J173" s="3">
        <v>23.26</v>
      </c>
      <c r="K173" s="3" t="s">
        <v>12</v>
      </c>
      <c r="L173" s="3" t="s">
        <v>12</v>
      </c>
      <c r="M173" s="3" t="s">
        <v>12</v>
      </c>
      <c r="N173" s="3" t="s">
        <v>12</v>
      </c>
      <c r="O173" s="3" t="s">
        <v>12</v>
      </c>
      <c r="P173" s="3" t="s">
        <v>12</v>
      </c>
      <c r="Q173" s="3" t="s">
        <v>12</v>
      </c>
      <c r="R173" s="3" t="s">
        <v>12</v>
      </c>
      <c r="S173" s="3" t="s">
        <v>12</v>
      </c>
      <c r="T173" s="3" t="s">
        <v>12</v>
      </c>
      <c r="U173" s="3">
        <v>703.05</v>
      </c>
      <c r="V173" s="3">
        <v>44.58</v>
      </c>
      <c r="W173" s="3" t="s">
        <v>65</v>
      </c>
    </row>
    <row r="174" spans="1:23" x14ac:dyDescent="0.2">
      <c r="A174" s="3" t="s">
        <v>48</v>
      </c>
      <c r="B174" s="3" t="s">
        <v>12</v>
      </c>
      <c r="C174" s="3" t="s">
        <v>12</v>
      </c>
      <c r="D174" s="3" t="s">
        <v>12</v>
      </c>
      <c r="E174" s="3" t="s">
        <v>12</v>
      </c>
      <c r="F174" s="3" t="s">
        <v>12</v>
      </c>
      <c r="G174" s="3" t="s">
        <v>12</v>
      </c>
      <c r="H174" s="3">
        <v>73.680000000000007</v>
      </c>
      <c r="I174" s="3">
        <v>130.43</v>
      </c>
      <c r="J174" s="3">
        <v>132.46</v>
      </c>
      <c r="K174" s="3" t="s">
        <v>12</v>
      </c>
      <c r="L174" s="3">
        <v>41.37</v>
      </c>
      <c r="M174" s="3">
        <v>58.15</v>
      </c>
      <c r="N174" s="3">
        <v>94.43</v>
      </c>
      <c r="O174" s="3">
        <v>137.38</v>
      </c>
      <c r="P174" s="3">
        <v>92.32</v>
      </c>
      <c r="Q174" s="3">
        <v>104.4</v>
      </c>
      <c r="R174" s="3">
        <v>111.16</v>
      </c>
      <c r="S174" s="3">
        <v>111.44</v>
      </c>
      <c r="T174" s="3">
        <v>73.53</v>
      </c>
      <c r="U174" s="3">
        <v>33.14</v>
      </c>
      <c r="V174" s="3">
        <v>48.52</v>
      </c>
      <c r="W174" s="3" t="s">
        <v>65</v>
      </c>
    </row>
    <row r="175" spans="1:23" x14ac:dyDescent="0.2">
      <c r="A175" s="3" t="s">
        <v>20</v>
      </c>
      <c r="B175" s="3">
        <v>183.62</v>
      </c>
      <c r="C175" s="3">
        <v>163.47999999999999</v>
      </c>
      <c r="D175" s="3">
        <v>153.38999999999999</v>
      </c>
      <c r="E175" s="3">
        <v>73.12</v>
      </c>
      <c r="F175" s="3">
        <v>50.84</v>
      </c>
      <c r="G175" s="3">
        <v>59.08</v>
      </c>
      <c r="H175" s="3">
        <v>19.899999999999999</v>
      </c>
      <c r="I175" s="3">
        <v>9.17</v>
      </c>
      <c r="J175" s="3">
        <v>9.61</v>
      </c>
      <c r="K175" s="3">
        <v>6.73</v>
      </c>
      <c r="L175" s="3">
        <v>3.21</v>
      </c>
      <c r="M175" s="3">
        <v>4.79</v>
      </c>
      <c r="N175" s="3">
        <v>3.68</v>
      </c>
      <c r="O175" s="3">
        <v>10.82</v>
      </c>
      <c r="P175" s="3">
        <v>11.35</v>
      </c>
      <c r="Q175" s="3">
        <v>11.47</v>
      </c>
      <c r="R175" s="3">
        <v>12.78</v>
      </c>
      <c r="S175" s="3">
        <v>13.22</v>
      </c>
      <c r="T175" s="3">
        <v>7.49</v>
      </c>
      <c r="U175" s="3">
        <v>2.89</v>
      </c>
      <c r="V175" s="3">
        <v>2.4300000000000002</v>
      </c>
      <c r="W175" s="3" t="s">
        <v>65</v>
      </c>
    </row>
    <row r="176" spans="1:23" x14ac:dyDescent="0.2">
      <c r="A176" s="3" t="s">
        <v>21</v>
      </c>
      <c r="B176" s="3">
        <v>3.26</v>
      </c>
      <c r="C176" s="3">
        <v>2.2400000000000002</v>
      </c>
      <c r="D176" s="3">
        <v>3.9</v>
      </c>
      <c r="E176" s="3">
        <v>9.0500000000000007</v>
      </c>
      <c r="F176" s="3">
        <v>8.6199999999999992</v>
      </c>
      <c r="G176" s="3">
        <v>12.05</v>
      </c>
      <c r="H176" s="3">
        <v>4.5599999999999996</v>
      </c>
      <c r="I176" s="3">
        <v>5.5</v>
      </c>
      <c r="J176" s="3">
        <v>5.87</v>
      </c>
      <c r="K176" s="3">
        <v>7.62</v>
      </c>
      <c r="L176" s="3">
        <v>-4.18</v>
      </c>
      <c r="M176" s="3">
        <v>-11.98</v>
      </c>
      <c r="N176" s="3">
        <v>-9.92</v>
      </c>
      <c r="O176" s="3">
        <v>6.36</v>
      </c>
      <c r="P176" s="3">
        <v>5.92</v>
      </c>
      <c r="Q176" s="3">
        <v>12.62</v>
      </c>
      <c r="R176" s="3">
        <v>83.66</v>
      </c>
      <c r="S176" s="3">
        <v>17.829999999999998</v>
      </c>
      <c r="T176" s="3">
        <v>6.51</v>
      </c>
      <c r="U176" s="3">
        <v>3.58</v>
      </c>
      <c r="V176" s="3">
        <v>2.52</v>
      </c>
      <c r="W176" s="3" t="s">
        <v>65</v>
      </c>
    </row>
    <row r="177" spans="1:23" x14ac:dyDescent="0.2">
      <c r="A177" s="3" t="s">
        <v>402</v>
      </c>
      <c r="B177" s="3">
        <v>3.47</v>
      </c>
      <c r="C177" s="3">
        <v>2.33</v>
      </c>
      <c r="D177" s="3">
        <v>3.9</v>
      </c>
      <c r="E177" s="3">
        <v>9.0500000000000007</v>
      </c>
      <c r="F177" s="3">
        <v>8.6199999999999992</v>
      </c>
      <c r="G177" s="3">
        <v>12.05</v>
      </c>
      <c r="H177" s="3">
        <v>4.5599999999999996</v>
      </c>
      <c r="I177" s="3">
        <v>5.5</v>
      </c>
      <c r="J177" s="3">
        <v>5.87</v>
      </c>
      <c r="K177" s="3">
        <v>7.62</v>
      </c>
      <c r="L177" s="3" t="s">
        <v>12</v>
      </c>
      <c r="M177" s="3" t="s">
        <v>12</v>
      </c>
      <c r="N177" s="3" t="s">
        <v>12</v>
      </c>
      <c r="O177" s="3">
        <v>6.36</v>
      </c>
      <c r="P177" s="3">
        <v>5.92</v>
      </c>
      <c r="Q177" s="3">
        <v>12.62</v>
      </c>
      <c r="R177" s="3">
        <v>83.66</v>
      </c>
      <c r="S177" s="3">
        <v>17.829999999999998</v>
      </c>
      <c r="T177" s="3">
        <v>6.51</v>
      </c>
      <c r="U177" s="3">
        <v>3.58</v>
      </c>
      <c r="V177" s="3">
        <v>2.52</v>
      </c>
      <c r="W177" s="3" t="s">
        <v>65</v>
      </c>
    </row>
    <row r="178" spans="1:23" x14ac:dyDescent="0.2">
      <c r="A178" s="3" t="s">
        <v>22</v>
      </c>
      <c r="B178" s="3" t="s">
        <v>12</v>
      </c>
      <c r="C178" s="3" t="s">
        <v>12</v>
      </c>
      <c r="D178" s="3" t="s">
        <v>12</v>
      </c>
      <c r="E178" s="3" t="s">
        <v>12</v>
      </c>
      <c r="F178" s="3" t="s">
        <v>12</v>
      </c>
      <c r="G178" s="3" t="s">
        <v>12</v>
      </c>
      <c r="H178" s="3">
        <v>1010.5</v>
      </c>
      <c r="I178" s="3" t="s">
        <v>12</v>
      </c>
      <c r="J178" s="3" t="s">
        <v>12</v>
      </c>
      <c r="K178" s="3" t="s">
        <v>12</v>
      </c>
      <c r="L178" s="3">
        <v>2210</v>
      </c>
      <c r="M178" s="3">
        <v>109.18</v>
      </c>
      <c r="N178" s="3">
        <v>49.98</v>
      </c>
      <c r="O178" s="3">
        <v>76.319999999999993</v>
      </c>
      <c r="P178" s="3">
        <v>63.61</v>
      </c>
      <c r="Q178" s="3">
        <v>52.19</v>
      </c>
      <c r="R178" s="3">
        <v>64.8</v>
      </c>
      <c r="S178" s="3">
        <v>77.64</v>
      </c>
      <c r="T178" s="3">
        <v>72.06</v>
      </c>
      <c r="U178" s="3">
        <v>39.950000000000003</v>
      </c>
      <c r="V178" s="3">
        <v>32.74</v>
      </c>
      <c r="W178" s="3" t="s">
        <v>65</v>
      </c>
    </row>
    <row r="179" spans="1:23" x14ac:dyDescent="0.2">
      <c r="A179" s="3" t="s">
        <v>23</v>
      </c>
      <c r="B179" s="3" t="s">
        <v>12</v>
      </c>
      <c r="C179" s="3" t="s">
        <v>12</v>
      </c>
      <c r="D179" s="3" t="s">
        <v>12</v>
      </c>
      <c r="E179" s="3" t="s">
        <v>12</v>
      </c>
      <c r="F179" s="3" t="s">
        <v>12</v>
      </c>
      <c r="G179" s="3">
        <v>7412.4</v>
      </c>
      <c r="H179" s="3">
        <v>776.95</v>
      </c>
      <c r="I179" s="3" t="s">
        <v>12</v>
      </c>
      <c r="J179" s="3" t="s">
        <v>12</v>
      </c>
      <c r="K179" s="3" t="s">
        <v>12</v>
      </c>
      <c r="L179" s="3">
        <v>498.99</v>
      </c>
      <c r="M179" s="3">
        <v>97.33</v>
      </c>
      <c r="N179" s="3">
        <v>46.38</v>
      </c>
      <c r="O179" s="3">
        <v>73.36</v>
      </c>
      <c r="P179" s="3">
        <v>61.77</v>
      </c>
      <c r="Q179" s="3">
        <v>50.22</v>
      </c>
      <c r="R179" s="3">
        <v>62.41</v>
      </c>
      <c r="S179" s="3">
        <v>74.58</v>
      </c>
      <c r="T179" s="3">
        <v>67.150000000000006</v>
      </c>
      <c r="U179" s="3">
        <v>37.82</v>
      </c>
      <c r="V179" s="3">
        <v>30.25</v>
      </c>
      <c r="W179" s="3" t="s">
        <v>65</v>
      </c>
    </row>
    <row r="180" spans="1:23" x14ac:dyDescent="0.2">
      <c r="A180" s="3" t="s">
        <v>434</v>
      </c>
      <c r="B180" s="3" t="s">
        <v>12</v>
      </c>
      <c r="C180" s="3">
        <v>8.89</v>
      </c>
      <c r="D180" s="3">
        <v>8.89</v>
      </c>
      <c r="E180" s="3">
        <v>8.89</v>
      </c>
      <c r="F180" s="3">
        <v>8.89</v>
      </c>
      <c r="G180" s="3">
        <v>8.89</v>
      </c>
      <c r="H180" s="3">
        <v>8.89</v>
      </c>
      <c r="I180" s="3">
        <v>8.89</v>
      </c>
      <c r="J180" s="3">
        <v>8.89</v>
      </c>
      <c r="K180" s="3">
        <v>8.89</v>
      </c>
      <c r="L180" s="3">
        <v>8.89</v>
      </c>
      <c r="M180" s="3">
        <v>8.89</v>
      </c>
      <c r="N180" s="3">
        <v>8.89</v>
      </c>
      <c r="O180" s="3">
        <v>8.89</v>
      </c>
      <c r="P180" s="3">
        <v>8.89</v>
      </c>
      <c r="Q180" s="3">
        <v>8.89</v>
      </c>
      <c r="R180" s="3">
        <v>8.89</v>
      </c>
      <c r="S180" s="3">
        <v>8.89</v>
      </c>
      <c r="T180" s="3">
        <v>8.89</v>
      </c>
      <c r="U180" s="3">
        <v>8.89</v>
      </c>
      <c r="V180" s="3">
        <v>8.89</v>
      </c>
      <c r="W180" s="3" t="s">
        <v>65</v>
      </c>
    </row>
    <row r="181" spans="1:23" x14ac:dyDescent="0.2">
      <c r="A181" s="3" t="s">
        <v>24</v>
      </c>
      <c r="B181" s="3">
        <v>261.23</v>
      </c>
      <c r="C181" s="3">
        <v>179.2</v>
      </c>
      <c r="D181" s="3">
        <v>162.5</v>
      </c>
      <c r="E181" s="3">
        <v>81.33</v>
      </c>
      <c r="F181" s="3">
        <v>58.19</v>
      </c>
      <c r="G181" s="3">
        <v>63.59</v>
      </c>
      <c r="H181" s="3">
        <v>24.33</v>
      </c>
      <c r="I181" s="3">
        <v>13.49</v>
      </c>
      <c r="J181" s="3">
        <v>13.9</v>
      </c>
      <c r="K181" s="3">
        <v>11.53</v>
      </c>
      <c r="L181" s="3">
        <v>7.99</v>
      </c>
      <c r="M181" s="3">
        <v>9.5299999999999994</v>
      </c>
      <c r="N181" s="3">
        <v>8.33</v>
      </c>
      <c r="O181" s="3">
        <v>15.12</v>
      </c>
      <c r="P181" s="3">
        <v>15.63</v>
      </c>
      <c r="Q181" s="3">
        <v>15.78</v>
      </c>
      <c r="R181" s="3">
        <v>16.07</v>
      </c>
      <c r="S181" s="3">
        <v>14.28</v>
      </c>
      <c r="T181" s="3">
        <v>7.6</v>
      </c>
      <c r="U181" s="3">
        <v>2.0099999999999998</v>
      </c>
      <c r="V181" s="3">
        <v>1.53</v>
      </c>
      <c r="W181" s="3" t="s">
        <v>65</v>
      </c>
    </row>
    <row r="182" spans="1:23" x14ac:dyDescent="0.2">
      <c r="A182" s="3" t="s">
        <v>203</v>
      </c>
      <c r="B182" s="3" t="s">
        <v>12</v>
      </c>
      <c r="C182" s="3" t="s">
        <v>12</v>
      </c>
      <c r="D182" s="3" t="s">
        <v>12</v>
      </c>
      <c r="E182" s="3" t="s">
        <v>12</v>
      </c>
      <c r="F182" s="3" t="s">
        <v>12</v>
      </c>
      <c r="G182" s="3" t="s">
        <v>12</v>
      </c>
      <c r="H182" s="3" t="s">
        <v>12</v>
      </c>
      <c r="I182" s="3" t="s">
        <v>12</v>
      </c>
      <c r="J182" s="3" t="s">
        <v>12</v>
      </c>
      <c r="K182" s="3" t="s">
        <v>12</v>
      </c>
      <c r="L182" s="3" t="s">
        <v>12</v>
      </c>
      <c r="M182" s="3" t="s">
        <v>12</v>
      </c>
      <c r="N182" s="3" t="s">
        <v>12</v>
      </c>
      <c r="O182" s="3" t="s">
        <v>12</v>
      </c>
      <c r="P182" s="3" t="s">
        <v>12</v>
      </c>
      <c r="Q182" s="3" t="s">
        <v>12</v>
      </c>
      <c r="R182" s="3" t="s">
        <v>12</v>
      </c>
      <c r="S182" s="3" t="s">
        <v>12</v>
      </c>
      <c r="T182" s="3" t="s">
        <v>12</v>
      </c>
      <c r="U182" s="3">
        <v>119.97</v>
      </c>
      <c r="V182" s="3">
        <v>23.2</v>
      </c>
      <c r="W182" s="3" t="s">
        <v>65</v>
      </c>
    </row>
    <row r="183" spans="1:23" x14ac:dyDescent="0.2">
      <c r="A183" s="3" t="s">
        <v>204</v>
      </c>
      <c r="B183" s="3" t="s">
        <v>12</v>
      </c>
      <c r="C183" s="3" t="s">
        <v>12</v>
      </c>
      <c r="D183" s="3" t="s">
        <v>12</v>
      </c>
      <c r="E183" s="3" t="s">
        <v>12</v>
      </c>
      <c r="F183" s="3" t="s">
        <v>12</v>
      </c>
      <c r="G183" s="3" t="s">
        <v>12</v>
      </c>
      <c r="H183" s="3" t="s">
        <v>12</v>
      </c>
      <c r="I183" s="3" t="s">
        <v>12</v>
      </c>
      <c r="J183" s="3" t="s">
        <v>12</v>
      </c>
      <c r="K183" s="3" t="s">
        <v>12</v>
      </c>
      <c r="L183" s="3" t="s">
        <v>12</v>
      </c>
      <c r="M183" s="3" t="s">
        <v>12</v>
      </c>
      <c r="N183" s="3" t="s">
        <v>12</v>
      </c>
      <c r="O183" s="3" t="s">
        <v>12</v>
      </c>
      <c r="P183" s="3" t="s">
        <v>12</v>
      </c>
      <c r="Q183" s="3" t="s">
        <v>12</v>
      </c>
      <c r="R183" s="3" t="s">
        <v>12</v>
      </c>
      <c r="S183" s="3" t="s">
        <v>12</v>
      </c>
      <c r="T183" s="3" t="s">
        <v>12</v>
      </c>
      <c r="U183" s="3" t="s">
        <v>12</v>
      </c>
      <c r="V183" s="3">
        <v>35.450000000000003</v>
      </c>
      <c r="W183" s="3" t="s">
        <v>65</v>
      </c>
    </row>
    <row r="184" spans="1:23" x14ac:dyDescent="0.2">
      <c r="A184" s="3" t="s">
        <v>25</v>
      </c>
      <c r="B184" s="3" t="s">
        <v>12</v>
      </c>
      <c r="C184" s="3" t="s">
        <v>12</v>
      </c>
      <c r="D184" s="3" t="s">
        <v>12</v>
      </c>
      <c r="E184" s="3" t="s">
        <v>12</v>
      </c>
      <c r="F184" s="3" t="s">
        <v>12</v>
      </c>
      <c r="G184" s="3" t="s">
        <v>12</v>
      </c>
      <c r="H184" s="3">
        <v>1235.0899999999999</v>
      </c>
      <c r="I184" s="3" t="s">
        <v>12</v>
      </c>
      <c r="J184" s="3" t="s">
        <v>12</v>
      </c>
      <c r="K184" s="3" t="s">
        <v>12</v>
      </c>
      <c r="L184" s="3">
        <v>5500.79</v>
      </c>
      <c r="M184" s="3">
        <v>217.35</v>
      </c>
      <c r="N184" s="3">
        <v>113.07</v>
      </c>
      <c r="O184" s="3">
        <v>106.6</v>
      </c>
      <c r="P184" s="3">
        <v>87.58</v>
      </c>
      <c r="Q184" s="3">
        <v>71.790000000000006</v>
      </c>
      <c r="R184" s="3">
        <v>81.53</v>
      </c>
      <c r="S184" s="3">
        <v>83.87</v>
      </c>
      <c r="T184" s="3">
        <v>73.12</v>
      </c>
      <c r="U184" s="3">
        <v>27.84</v>
      </c>
      <c r="V184" s="3">
        <v>20.57</v>
      </c>
      <c r="W184" s="3" t="s">
        <v>65</v>
      </c>
    </row>
    <row r="185" spans="1:23" x14ac:dyDescent="0.2">
      <c r="A185" s="3" t="s">
        <v>174</v>
      </c>
      <c r="B185" s="3">
        <v>0.24</v>
      </c>
      <c r="C185" s="3">
        <v>0.24</v>
      </c>
      <c r="D185" s="3">
        <v>0.4</v>
      </c>
      <c r="E185" s="3">
        <v>1.1299999999999999</v>
      </c>
      <c r="F185" s="3">
        <v>1.38</v>
      </c>
      <c r="G185" s="3">
        <v>1.51</v>
      </c>
      <c r="H185" s="3">
        <v>1.04</v>
      </c>
      <c r="I185" s="3">
        <v>2.67</v>
      </c>
      <c r="J185" s="3">
        <v>2.74</v>
      </c>
      <c r="K185" s="3">
        <v>5.0599999999999996</v>
      </c>
      <c r="L185" s="3">
        <v>-6.38</v>
      </c>
      <c r="M185" s="3">
        <v>-12.21</v>
      </c>
      <c r="N185" s="3">
        <v>-13.08</v>
      </c>
      <c r="O185" s="3">
        <v>2.82</v>
      </c>
      <c r="P185" s="3">
        <v>2.2799999999999998</v>
      </c>
      <c r="Q185" s="3">
        <v>4.8600000000000003</v>
      </c>
      <c r="R185" s="3">
        <v>28.96</v>
      </c>
      <c r="S185" s="3">
        <v>4.8099999999999996</v>
      </c>
      <c r="T185" s="3">
        <v>1.03</v>
      </c>
      <c r="U185" s="3">
        <v>0.27</v>
      </c>
      <c r="V185" s="3">
        <v>0.24</v>
      </c>
      <c r="W185" s="3" t="s">
        <v>65</v>
      </c>
    </row>
    <row r="186" spans="1:23" x14ac:dyDescent="0.2">
      <c r="A186" s="3" t="s">
        <v>175</v>
      </c>
      <c r="B186" s="3" t="s">
        <v>12</v>
      </c>
      <c r="C186" s="3" t="s">
        <v>12</v>
      </c>
      <c r="D186" s="3" t="s">
        <v>12</v>
      </c>
      <c r="E186" s="3" t="s">
        <v>12</v>
      </c>
      <c r="F186" s="3" t="s">
        <v>12</v>
      </c>
      <c r="G186" s="3" t="s">
        <v>12</v>
      </c>
      <c r="H186" s="3" t="s">
        <v>12</v>
      </c>
      <c r="I186" s="3" t="s">
        <v>12</v>
      </c>
      <c r="J186" s="3" t="s">
        <v>12</v>
      </c>
      <c r="K186" s="3" t="s">
        <v>12</v>
      </c>
      <c r="L186" s="3" t="s">
        <v>12</v>
      </c>
      <c r="M186" s="3" t="s">
        <v>12</v>
      </c>
      <c r="N186" s="3" t="s">
        <v>12</v>
      </c>
      <c r="O186" s="3" t="s">
        <v>12</v>
      </c>
      <c r="P186" s="3" t="s">
        <v>12</v>
      </c>
      <c r="Q186" s="3" t="s">
        <v>12</v>
      </c>
      <c r="R186" s="3" t="s">
        <v>12</v>
      </c>
      <c r="S186" s="3" t="s">
        <v>12</v>
      </c>
      <c r="T186" s="3">
        <v>40.71</v>
      </c>
      <c r="U186" s="3">
        <v>4.05</v>
      </c>
      <c r="V186" s="3">
        <v>2.2000000000000002</v>
      </c>
      <c r="W186" s="3" t="s">
        <v>65</v>
      </c>
    </row>
    <row r="187" spans="1:23" x14ac:dyDescent="0.2">
      <c r="A187" s="3" t="s">
        <v>205</v>
      </c>
      <c r="B187" s="3" t="s">
        <v>12</v>
      </c>
      <c r="C187" s="3" t="s">
        <v>12</v>
      </c>
      <c r="D187" s="3" t="s">
        <v>12</v>
      </c>
      <c r="E187" s="3" t="s">
        <v>12</v>
      </c>
      <c r="F187" s="3" t="s">
        <v>12</v>
      </c>
      <c r="G187" s="3" t="s">
        <v>12</v>
      </c>
      <c r="H187" s="3">
        <v>230.62</v>
      </c>
      <c r="I187" s="3" t="s">
        <v>12</v>
      </c>
      <c r="J187" s="3" t="s">
        <v>12</v>
      </c>
      <c r="K187" s="3" t="s">
        <v>12</v>
      </c>
      <c r="L187" s="3">
        <v>3374.29</v>
      </c>
      <c r="M187" s="3">
        <v>111.29</v>
      </c>
      <c r="N187" s="3">
        <v>65.89</v>
      </c>
      <c r="O187" s="3">
        <v>33.869999999999997</v>
      </c>
      <c r="P187" s="3">
        <v>24.49</v>
      </c>
      <c r="Q187" s="3">
        <v>20.100000000000001</v>
      </c>
      <c r="R187" s="3">
        <v>22.43</v>
      </c>
      <c r="S187" s="3">
        <v>20.93</v>
      </c>
      <c r="T187" s="3">
        <v>11.42</v>
      </c>
      <c r="U187" s="3">
        <v>3.03</v>
      </c>
      <c r="V187" s="3">
        <v>3.07</v>
      </c>
      <c r="W187" s="3" t="s">
        <v>65</v>
      </c>
    </row>
    <row r="188" spans="1:23" x14ac:dyDescent="0.2">
      <c r="A188" s="3" t="s">
        <v>176</v>
      </c>
      <c r="B188" s="3">
        <v>0.02</v>
      </c>
      <c r="C188" s="3">
        <v>0.02</v>
      </c>
      <c r="D188" s="3">
        <v>0.03</v>
      </c>
      <c r="E188" s="3">
        <v>0.08</v>
      </c>
      <c r="F188" s="3">
        <v>0.09</v>
      </c>
      <c r="G188" s="3">
        <v>0.1</v>
      </c>
      <c r="H188" s="3">
        <v>0.14000000000000001</v>
      </c>
      <c r="I188" s="3">
        <v>0.17</v>
      </c>
      <c r="J188" s="3">
        <v>0.17</v>
      </c>
      <c r="K188" s="3">
        <v>0.15</v>
      </c>
      <c r="L188" s="3">
        <v>0.17</v>
      </c>
      <c r="M188" s="3">
        <v>0.18</v>
      </c>
      <c r="N188" s="3">
        <v>0.19</v>
      </c>
      <c r="O188" s="3">
        <v>0.17</v>
      </c>
      <c r="P188" s="3">
        <v>0.2</v>
      </c>
      <c r="Q188" s="3">
        <v>0.27</v>
      </c>
      <c r="R188" s="3">
        <v>0.28999999999999998</v>
      </c>
      <c r="S188" s="3">
        <v>0.3</v>
      </c>
      <c r="T188" s="3">
        <v>0.4</v>
      </c>
      <c r="U188" s="3">
        <v>0.57999999999999996</v>
      </c>
      <c r="V188" s="3">
        <v>0.55000000000000004</v>
      </c>
      <c r="W188" s="3" t="s">
        <v>65</v>
      </c>
    </row>
    <row r="189" spans="1:23" x14ac:dyDescent="0.2">
      <c r="A189" s="3" t="s">
        <v>8</v>
      </c>
      <c r="B189" s="3">
        <v>0.54</v>
      </c>
      <c r="C189" s="3">
        <v>0.54</v>
      </c>
      <c r="D189" s="3">
        <v>0.62</v>
      </c>
      <c r="E189" s="3">
        <v>0.56000000000000005</v>
      </c>
      <c r="F189" s="3">
        <v>0.42</v>
      </c>
      <c r="G189" s="3">
        <v>0.67</v>
      </c>
      <c r="H189" s="3">
        <v>0.76</v>
      </c>
      <c r="I189" s="3">
        <v>0.65</v>
      </c>
      <c r="J189" s="3">
        <v>0.69</v>
      </c>
      <c r="K189" s="3">
        <v>0.75</v>
      </c>
      <c r="L189" s="3">
        <v>0.74</v>
      </c>
      <c r="M189" s="3">
        <v>0.66</v>
      </c>
      <c r="N189" s="3">
        <v>0.69</v>
      </c>
      <c r="O189" s="3">
        <v>0.72</v>
      </c>
      <c r="P189" s="3">
        <v>0.81</v>
      </c>
      <c r="Q189" s="3">
        <v>0.72</v>
      </c>
      <c r="R189" s="3">
        <v>0.69</v>
      </c>
      <c r="S189" s="3">
        <v>0.83</v>
      </c>
      <c r="T189" s="3">
        <v>0.9</v>
      </c>
      <c r="U189" s="3">
        <v>0.83</v>
      </c>
      <c r="V189" s="3">
        <v>2.73</v>
      </c>
      <c r="W189" s="3" t="s">
        <v>65</v>
      </c>
    </row>
    <row r="190" spans="1:23" x14ac:dyDescent="0.2">
      <c r="A190" s="3" t="s">
        <v>5</v>
      </c>
      <c r="B190" s="3">
        <v>0.66</v>
      </c>
      <c r="C190" s="3">
        <v>0.66</v>
      </c>
      <c r="D190" s="3">
        <v>0.71</v>
      </c>
      <c r="E190" s="3">
        <v>0.65</v>
      </c>
      <c r="F190" s="3">
        <v>0.47</v>
      </c>
      <c r="G190" s="3">
        <v>0.78</v>
      </c>
      <c r="H190" s="3">
        <v>0.83</v>
      </c>
      <c r="I190" s="3">
        <v>0.75</v>
      </c>
      <c r="J190" s="3">
        <v>0.77</v>
      </c>
      <c r="K190" s="3">
        <v>0.83</v>
      </c>
      <c r="L190" s="3">
        <v>0.83</v>
      </c>
      <c r="M190" s="3">
        <v>0.78</v>
      </c>
      <c r="N190" s="3">
        <v>0.8</v>
      </c>
      <c r="O190" s="3">
        <v>0.81</v>
      </c>
      <c r="P190" s="3">
        <v>0.86</v>
      </c>
      <c r="Q190" s="3">
        <v>0.78</v>
      </c>
      <c r="R190" s="3">
        <v>0.76</v>
      </c>
      <c r="S190" s="3">
        <v>0.88</v>
      </c>
      <c r="T190" s="3">
        <v>0.95</v>
      </c>
      <c r="U190" s="3">
        <v>0.9</v>
      </c>
      <c r="V190" s="3">
        <v>2.8</v>
      </c>
      <c r="W190" s="3" t="s">
        <v>65</v>
      </c>
    </row>
    <row r="191" spans="1:23" x14ac:dyDescent="0.2">
      <c r="A191" s="3" t="s">
        <v>26</v>
      </c>
      <c r="B191" s="5">
        <v>-0.29680000000000001</v>
      </c>
      <c r="C191" s="5">
        <v>-0.29680000000000001</v>
      </c>
      <c r="D191" s="5">
        <v>-0.1144</v>
      </c>
      <c r="E191" s="5">
        <v>-0.17630000000000001</v>
      </c>
      <c r="F191" s="5">
        <v>-0.1149</v>
      </c>
      <c r="G191" s="5">
        <v>-5.9900000000000002E-2</v>
      </c>
      <c r="H191" s="5">
        <v>0.48170000000000002</v>
      </c>
      <c r="I191" s="5">
        <v>0.28220000000000001</v>
      </c>
      <c r="J191" s="5">
        <v>0.65400000000000003</v>
      </c>
      <c r="K191" s="5">
        <v>-1.3441000000000001</v>
      </c>
      <c r="L191" s="5">
        <v>-4.9335000000000004</v>
      </c>
      <c r="M191" s="5">
        <v>-10.0382</v>
      </c>
      <c r="N191" s="3" t="s">
        <v>12</v>
      </c>
      <c r="O191" s="5">
        <v>-0.90590000000000004</v>
      </c>
      <c r="P191" s="5">
        <v>-0.69910000000000005</v>
      </c>
      <c r="Q191" s="5">
        <v>-1.0411999999999999</v>
      </c>
      <c r="R191" s="5">
        <v>-1.571</v>
      </c>
      <c r="S191" s="5">
        <v>-0.28599999999999998</v>
      </c>
      <c r="T191" s="5">
        <v>-1.4200000000000001E-2</v>
      </c>
      <c r="U191" s="5">
        <v>4.4000000000000003E-3</v>
      </c>
      <c r="V191" s="5">
        <v>5.3900000000000003E-2</v>
      </c>
      <c r="W191" s="3" t="s">
        <v>65</v>
      </c>
    </row>
    <row r="192" spans="1:23" x14ac:dyDescent="0.2">
      <c r="A192" s="3" t="s">
        <v>27</v>
      </c>
      <c r="B192" s="5">
        <v>-0.18820000000000001</v>
      </c>
      <c r="C192" s="5">
        <v>-0.18820000000000001</v>
      </c>
      <c r="D192" s="5">
        <v>-7.5700000000000003E-2</v>
      </c>
      <c r="E192" s="5">
        <v>-9.3700000000000006E-2</v>
      </c>
      <c r="F192" s="5">
        <v>-5.6800000000000003E-2</v>
      </c>
      <c r="G192" s="5">
        <v>-3.9800000000000002E-2</v>
      </c>
      <c r="H192" s="5">
        <v>-0.02</v>
      </c>
      <c r="I192" s="5">
        <v>-5.62E-2</v>
      </c>
      <c r="J192" s="5">
        <v>-4.9200000000000001E-2</v>
      </c>
      <c r="K192" s="5">
        <v>-0.2112</v>
      </c>
      <c r="L192" s="5">
        <v>-0.26719999999999999</v>
      </c>
      <c r="M192" s="5">
        <v>-0.27560000000000001</v>
      </c>
      <c r="N192" s="5">
        <v>-0.307</v>
      </c>
      <c r="O192" s="5">
        <v>-0.1585</v>
      </c>
      <c r="P192" s="5">
        <v>-0.19520000000000001</v>
      </c>
      <c r="Q192" s="5">
        <v>-0.215</v>
      </c>
      <c r="R192" s="5">
        <v>-0.22320000000000001</v>
      </c>
      <c r="S192" s="5">
        <v>-7.4700000000000003E-2</v>
      </c>
      <c r="T192" s="5">
        <v>-7.1000000000000004E-3</v>
      </c>
      <c r="U192" s="5">
        <v>-3.3E-3</v>
      </c>
      <c r="V192" s="5">
        <v>1.4800000000000001E-2</v>
      </c>
      <c r="W192" s="3" t="s">
        <v>65</v>
      </c>
    </row>
    <row r="193" spans="1:23" x14ac:dyDescent="0.2">
      <c r="A193" s="3" t="s">
        <v>28</v>
      </c>
      <c r="B193" s="5">
        <v>-0.19819999999999999</v>
      </c>
      <c r="C193" s="5">
        <v>-0.19819999999999999</v>
      </c>
      <c r="D193" s="5">
        <v>-7.7499999999999999E-2</v>
      </c>
      <c r="E193" s="5">
        <v>-9.8699999999999996E-2</v>
      </c>
      <c r="F193" s="5">
        <v>-6.0400000000000002E-2</v>
      </c>
      <c r="G193" s="5">
        <v>-4.2900000000000001E-2</v>
      </c>
      <c r="H193" s="5">
        <v>-2.2200000000000001E-2</v>
      </c>
      <c r="I193" s="5">
        <v>-6.2399999999999997E-2</v>
      </c>
      <c r="J193" s="5">
        <v>-5.4800000000000001E-2</v>
      </c>
      <c r="K193" s="5">
        <v>-0.23519999999999999</v>
      </c>
      <c r="L193" s="5">
        <v>-0.3024</v>
      </c>
      <c r="M193" s="5">
        <v>-0.308</v>
      </c>
      <c r="N193" s="5">
        <v>-0.34810000000000002</v>
      </c>
      <c r="O193" s="5">
        <v>-0.1779</v>
      </c>
      <c r="P193" s="5">
        <v>-0.2263</v>
      </c>
      <c r="Q193" s="5">
        <v>-0.25280000000000002</v>
      </c>
      <c r="R193" s="5">
        <v>-0.26740000000000003</v>
      </c>
      <c r="S193" s="5">
        <v>-9.1399999999999995E-2</v>
      </c>
      <c r="T193" s="5">
        <v>-9.7999999999999997E-3</v>
      </c>
      <c r="U193" s="5">
        <v>-4.8999999999999998E-3</v>
      </c>
      <c r="V193" s="5">
        <v>2.1600000000000001E-2</v>
      </c>
      <c r="W193" s="3" t="s">
        <v>65</v>
      </c>
    </row>
    <row r="194" spans="1:23" ht="18" customHeight="1" x14ac:dyDescent="0.2">
      <c r="A194" s="3" t="s">
        <v>29</v>
      </c>
      <c r="B194" s="3" t="s">
        <v>12</v>
      </c>
      <c r="C194" s="3" t="s">
        <v>12</v>
      </c>
      <c r="D194" s="3" t="s">
        <v>12</v>
      </c>
      <c r="E194" s="3" t="s">
        <v>12</v>
      </c>
      <c r="F194" s="3" t="s">
        <v>12</v>
      </c>
      <c r="G194" s="3" t="s">
        <v>12</v>
      </c>
      <c r="H194" s="3" t="s">
        <v>12</v>
      </c>
      <c r="I194" s="3" t="s">
        <v>12</v>
      </c>
      <c r="J194" s="3" t="s">
        <v>12</v>
      </c>
      <c r="K194" s="3" t="s">
        <v>12</v>
      </c>
      <c r="L194" s="3" t="s">
        <v>12</v>
      </c>
      <c r="M194" s="3" t="s">
        <v>12</v>
      </c>
      <c r="N194" s="3" t="s">
        <v>12</v>
      </c>
      <c r="O194" s="3" t="s">
        <v>12</v>
      </c>
      <c r="P194" s="3" t="s">
        <v>12</v>
      </c>
      <c r="Q194" s="3" t="s">
        <v>12</v>
      </c>
      <c r="R194" s="3" t="s">
        <v>12</v>
      </c>
      <c r="S194" s="3" t="s">
        <v>12</v>
      </c>
      <c r="T194" s="3" t="s">
        <v>12</v>
      </c>
      <c r="U194" s="3" t="s">
        <v>12</v>
      </c>
      <c r="V194" s="5">
        <v>3.5000000000000003E-2</v>
      </c>
      <c r="W194" s="3" t="s">
        <v>65</v>
      </c>
    </row>
    <row r="195" spans="1:23" x14ac:dyDescent="0.2">
      <c r="A195" s="3" t="s">
        <v>30</v>
      </c>
      <c r="B195" s="5">
        <v>-4.7800000000000002E-2</v>
      </c>
      <c r="C195" s="5">
        <v>-7.0999999999999994E-2</v>
      </c>
      <c r="D195" s="5">
        <v>-1.6400000000000001E-2</v>
      </c>
      <c r="E195" s="5">
        <v>-1.1900000000000001E-2</v>
      </c>
      <c r="F195" s="5">
        <v>-8.6E-3</v>
      </c>
      <c r="G195" s="5">
        <v>-2.8999999999999998E-3</v>
      </c>
      <c r="H195" s="5">
        <v>4.3499999999999997E-2</v>
      </c>
      <c r="I195" s="5">
        <v>1.95E-2</v>
      </c>
      <c r="J195" s="5">
        <v>4.2999999999999997E-2</v>
      </c>
      <c r="K195" s="5">
        <v>-0.26</v>
      </c>
      <c r="L195" s="5">
        <v>-0.9173</v>
      </c>
      <c r="M195" s="5">
        <v>-0.54590000000000005</v>
      </c>
      <c r="N195" s="5">
        <v>-0.7107</v>
      </c>
      <c r="O195" s="5">
        <v>-0.1013</v>
      </c>
      <c r="P195" s="5">
        <v>-9.2399999999999996E-2</v>
      </c>
      <c r="Q195" s="5">
        <v>-7.6100000000000001E-2</v>
      </c>
      <c r="R195" s="5">
        <v>-6.5000000000000002E-2</v>
      </c>
      <c r="S195" s="5">
        <v>-1.8200000000000001E-2</v>
      </c>
      <c r="T195" s="5">
        <v>-2.0999999999999999E-3</v>
      </c>
      <c r="U195" s="5">
        <v>1.4E-3</v>
      </c>
      <c r="V195" s="5">
        <v>2.24E-2</v>
      </c>
      <c r="W195" s="3" t="s">
        <v>65</v>
      </c>
    </row>
    <row r="196" spans="1:23" x14ac:dyDescent="0.2">
      <c r="A196" s="3" t="s">
        <v>31</v>
      </c>
      <c r="B196" s="5">
        <v>-8.9999999999999998E-4</v>
      </c>
      <c r="C196" s="5">
        <v>-1.4E-3</v>
      </c>
      <c r="D196" s="5">
        <v>-8.9999999999999998E-4</v>
      </c>
      <c r="E196" s="5">
        <v>-1.1000000000000001E-3</v>
      </c>
      <c r="F196" s="5">
        <v>-2.0000000000000001E-4</v>
      </c>
      <c r="G196" s="5">
        <v>0</v>
      </c>
      <c r="H196" s="5">
        <v>1E-3</v>
      </c>
      <c r="I196" s="5">
        <v>-2.0999999999999999E-3</v>
      </c>
      <c r="J196" s="5">
        <v>-5.9999999999999995E-4</v>
      </c>
      <c r="K196" s="5">
        <v>-1.6000000000000001E-3</v>
      </c>
      <c r="L196" s="5">
        <v>4.0000000000000002E-4</v>
      </c>
      <c r="M196" s="5">
        <v>9.1999999999999998E-3</v>
      </c>
      <c r="N196" s="5">
        <v>0.02</v>
      </c>
      <c r="O196" s="5">
        <v>1.3100000000000001E-2</v>
      </c>
      <c r="P196" s="5">
        <v>1.5699999999999999E-2</v>
      </c>
      <c r="Q196" s="5">
        <v>1.9199999999999998E-2</v>
      </c>
      <c r="R196" s="5">
        <v>1.54E-2</v>
      </c>
      <c r="S196" s="5">
        <v>1.29E-2</v>
      </c>
      <c r="T196" s="5">
        <v>1.3899999999999999E-2</v>
      </c>
      <c r="U196" s="5">
        <v>2.5000000000000001E-2</v>
      </c>
      <c r="V196" s="5">
        <v>3.0499999999999999E-2</v>
      </c>
      <c r="W196" s="3" t="s">
        <v>65</v>
      </c>
    </row>
    <row r="197" spans="1:23" x14ac:dyDescent="0.2">
      <c r="A197" s="3" t="s">
        <v>206</v>
      </c>
      <c r="B197" s="5">
        <v>-0.42349999999999999</v>
      </c>
      <c r="C197" s="5">
        <v>-0.42349999999999999</v>
      </c>
      <c r="D197" s="5">
        <v>-0.1623</v>
      </c>
      <c r="E197" s="5">
        <v>-0.35639999999999999</v>
      </c>
      <c r="F197" s="5">
        <v>-0.28029999999999999</v>
      </c>
      <c r="G197" s="5">
        <v>-0.31009999999999999</v>
      </c>
      <c r="H197" s="5">
        <v>-0.46329999999999999</v>
      </c>
      <c r="I197" s="5">
        <v>-0.23200000000000001</v>
      </c>
      <c r="J197" s="5">
        <v>-0.19620000000000001</v>
      </c>
      <c r="K197" s="5">
        <v>-9.8400000000000001E-2</v>
      </c>
      <c r="L197" s="5">
        <v>-0.1298</v>
      </c>
      <c r="M197" s="5">
        <v>-0.14910000000000001</v>
      </c>
      <c r="N197" s="5">
        <v>-0.1265</v>
      </c>
      <c r="O197" s="5">
        <v>-8.6300000000000002E-2</v>
      </c>
      <c r="P197" s="5">
        <v>-3.4700000000000002E-2</v>
      </c>
      <c r="Q197" s="5">
        <v>2.1100000000000001E-2</v>
      </c>
      <c r="R197" s="5">
        <v>4.8800000000000003E-2</v>
      </c>
      <c r="S197" s="5">
        <v>6.3600000000000004E-2</v>
      </c>
      <c r="T197" s="5">
        <v>6.2399999999999997E-2</v>
      </c>
      <c r="U197" s="5">
        <v>5.9700000000000003E-2</v>
      </c>
      <c r="V197" s="5">
        <v>6.8900000000000003E-2</v>
      </c>
      <c r="W197" s="3" t="s">
        <v>65</v>
      </c>
    </row>
  </sheetData>
  <hyperlinks>
    <hyperlink ref="A7" r:id="rId1" display="file:///stocks/mstr/revenue" xr:uid="{BBE6BB1A-FE27-6C43-A1E3-404218BFB12C}"/>
    <hyperlink ref="A169" r:id="rId2" display="file:///stocks/mstr/market-cap" xr:uid="{B8E10598-2916-3545-92BC-AAE613834036}"/>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378</vt:i4>
      </vt:variant>
    </vt:vector>
  </HeadingPairs>
  <TitlesOfParts>
    <vt:vector size="385" baseType="lpstr">
      <vt:lpstr>Tracker</vt:lpstr>
      <vt:lpstr>HBook</vt:lpstr>
      <vt:lpstr>QBook</vt:lpstr>
      <vt:lpstr>Statistics</vt:lpstr>
      <vt:lpstr>HData</vt:lpstr>
      <vt:lpstr>QData</vt:lpstr>
      <vt:lpstr>12QData</vt:lpstr>
      <vt:lpstr>QData!BalanceSheet</vt:lpstr>
      <vt:lpstr>QData!CashFlow</vt:lpstr>
      <vt:lpstr>'12QData'!ExternalData_1</vt:lpstr>
      <vt:lpstr>HData!ExternalData_1</vt:lpstr>
      <vt:lpstr>QData!ExternalData_1</vt:lpstr>
      <vt:lpstr>Statistics!ExternalData_1</vt:lpstr>
      <vt:lpstr>'12QData'!ExternalData_10</vt:lpstr>
      <vt:lpstr>HData!ExternalData_10</vt:lpstr>
      <vt:lpstr>Statistics!ExternalData_10</vt:lpstr>
      <vt:lpstr>'12QData'!ExternalData_100</vt:lpstr>
      <vt:lpstr>HData!ExternalData_100</vt:lpstr>
      <vt:lpstr>'12QData'!ExternalData_101</vt:lpstr>
      <vt:lpstr>HData!ExternalData_101</vt:lpstr>
      <vt:lpstr>'12QData'!ExternalData_102</vt:lpstr>
      <vt:lpstr>HData!ExternalData_102</vt:lpstr>
      <vt:lpstr>'12QData'!ExternalData_103</vt:lpstr>
      <vt:lpstr>HData!ExternalData_103</vt:lpstr>
      <vt:lpstr>'12QData'!ExternalData_104</vt:lpstr>
      <vt:lpstr>HData!ExternalData_104</vt:lpstr>
      <vt:lpstr>'12QData'!ExternalData_105</vt:lpstr>
      <vt:lpstr>HData!ExternalData_105</vt:lpstr>
      <vt:lpstr>'12QData'!ExternalData_106</vt:lpstr>
      <vt:lpstr>HData!ExternalData_106</vt:lpstr>
      <vt:lpstr>'12QData'!ExternalData_107</vt:lpstr>
      <vt:lpstr>HData!ExternalData_107</vt:lpstr>
      <vt:lpstr>'12QData'!ExternalData_108</vt:lpstr>
      <vt:lpstr>HData!ExternalData_108</vt:lpstr>
      <vt:lpstr>'12QData'!ExternalData_109</vt:lpstr>
      <vt:lpstr>HData!ExternalData_109</vt:lpstr>
      <vt:lpstr>'12QData'!ExternalData_11</vt:lpstr>
      <vt:lpstr>HData!ExternalData_11</vt:lpstr>
      <vt:lpstr>Statistics!ExternalData_11</vt:lpstr>
      <vt:lpstr>'12QData'!ExternalData_110</vt:lpstr>
      <vt:lpstr>'12QData'!ExternalData_111</vt:lpstr>
      <vt:lpstr>'12QData'!ExternalData_112</vt:lpstr>
      <vt:lpstr>'12QData'!ExternalData_113</vt:lpstr>
      <vt:lpstr>'12QData'!ExternalData_114</vt:lpstr>
      <vt:lpstr>'12QData'!ExternalData_115</vt:lpstr>
      <vt:lpstr>'12QData'!ExternalData_116</vt:lpstr>
      <vt:lpstr>'12QData'!ExternalData_117</vt:lpstr>
      <vt:lpstr>'12QData'!ExternalData_118</vt:lpstr>
      <vt:lpstr>'12QData'!ExternalData_119</vt:lpstr>
      <vt:lpstr>'12QData'!ExternalData_12</vt:lpstr>
      <vt:lpstr>HData!ExternalData_12</vt:lpstr>
      <vt:lpstr>Statistics!ExternalData_12</vt:lpstr>
      <vt:lpstr>'12QData'!ExternalData_120</vt:lpstr>
      <vt:lpstr>'12QData'!ExternalData_121</vt:lpstr>
      <vt:lpstr>'12QData'!ExternalData_122</vt:lpstr>
      <vt:lpstr>'12QData'!ExternalData_123</vt:lpstr>
      <vt:lpstr>HData!ExternalData_123</vt:lpstr>
      <vt:lpstr>'12QData'!ExternalData_124</vt:lpstr>
      <vt:lpstr>HData!ExternalData_124</vt:lpstr>
      <vt:lpstr>'12QData'!ExternalData_125</vt:lpstr>
      <vt:lpstr>HData!ExternalData_125</vt:lpstr>
      <vt:lpstr>'12QData'!ExternalData_126</vt:lpstr>
      <vt:lpstr>HData!ExternalData_126</vt:lpstr>
      <vt:lpstr>'12QData'!ExternalData_127</vt:lpstr>
      <vt:lpstr>HData!ExternalData_127</vt:lpstr>
      <vt:lpstr>'12QData'!ExternalData_128</vt:lpstr>
      <vt:lpstr>HData!ExternalData_128</vt:lpstr>
      <vt:lpstr>'12QData'!ExternalData_129</vt:lpstr>
      <vt:lpstr>HData!ExternalData_129</vt:lpstr>
      <vt:lpstr>'12QData'!ExternalData_13</vt:lpstr>
      <vt:lpstr>HData!ExternalData_13</vt:lpstr>
      <vt:lpstr>Statistics!ExternalData_13</vt:lpstr>
      <vt:lpstr>'12QData'!ExternalData_130</vt:lpstr>
      <vt:lpstr>HData!ExternalData_130</vt:lpstr>
      <vt:lpstr>'12QData'!ExternalData_131</vt:lpstr>
      <vt:lpstr>HData!ExternalData_131</vt:lpstr>
      <vt:lpstr>'12QData'!ExternalData_132</vt:lpstr>
      <vt:lpstr>HData!ExternalData_132</vt:lpstr>
      <vt:lpstr>'12QData'!ExternalData_133</vt:lpstr>
      <vt:lpstr>HData!ExternalData_133</vt:lpstr>
      <vt:lpstr>'12QData'!ExternalData_134</vt:lpstr>
      <vt:lpstr>HData!ExternalData_134</vt:lpstr>
      <vt:lpstr>'12QData'!ExternalData_135</vt:lpstr>
      <vt:lpstr>HData!ExternalData_135</vt:lpstr>
      <vt:lpstr>'12QData'!ExternalData_136</vt:lpstr>
      <vt:lpstr>HData!ExternalData_136</vt:lpstr>
      <vt:lpstr>'12QData'!ExternalData_137</vt:lpstr>
      <vt:lpstr>HData!ExternalData_137</vt:lpstr>
      <vt:lpstr>'12QData'!ExternalData_138</vt:lpstr>
      <vt:lpstr>HData!ExternalData_138</vt:lpstr>
      <vt:lpstr>'12QData'!ExternalData_139</vt:lpstr>
      <vt:lpstr>HData!ExternalData_139</vt:lpstr>
      <vt:lpstr>'12QData'!ExternalData_14</vt:lpstr>
      <vt:lpstr>HData!ExternalData_14</vt:lpstr>
      <vt:lpstr>Statistics!ExternalData_14</vt:lpstr>
      <vt:lpstr>'12QData'!ExternalData_140</vt:lpstr>
      <vt:lpstr>HData!ExternalData_140</vt:lpstr>
      <vt:lpstr>'12QData'!ExternalData_141</vt:lpstr>
      <vt:lpstr>HData!ExternalData_141</vt:lpstr>
      <vt:lpstr>'12QData'!ExternalData_142</vt:lpstr>
      <vt:lpstr>HData!ExternalData_142</vt:lpstr>
      <vt:lpstr>'12QData'!ExternalData_143</vt:lpstr>
      <vt:lpstr>HData!ExternalData_143</vt:lpstr>
      <vt:lpstr>'12QData'!ExternalData_144</vt:lpstr>
      <vt:lpstr>'12QData'!ExternalData_145</vt:lpstr>
      <vt:lpstr>'12QData'!ExternalData_146</vt:lpstr>
      <vt:lpstr>'12QData'!ExternalData_147</vt:lpstr>
      <vt:lpstr>'12QData'!ExternalData_148</vt:lpstr>
      <vt:lpstr>'12QData'!ExternalData_149</vt:lpstr>
      <vt:lpstr>'12QData'!ExternalData_15</vt:lpstr>
      <vt:lpstr>HData!ExternalData_15</vt:lpstr>
      <vt:lpstr>Statistics!ExternalData_15</vt:lpstr>
      <vt:lpstr>'12QData'!ExternalData_150</vt:lpstr>
      <vt:lpstr>'12QData'!ExternalData_151</vt:lpstr>
      <vt:lpstr>'12QData'!ExternalData_152</vt:lpstr>
      <vt:lpstr>'12QData'!ExternalData_153</vt:lpstr>
      <vt:lpstr>'12QData'!ExternalData_154</vt:lpstr>
      <vt:lpstr>'12QData'!ExternalData_155</vt:lpstr>
      <vt:lpstr>'12QData'!ExternalData_156</vt:lpstr>
      <vt:lpstr>'12QData'!ExternalData_157</vt:lpstr>
      <vt:lpstr>'12QData'!ExternalData_158</vt:lpstr>
      <vt:lpstr>'12QData'!ExternalData_159</vt:lpstr>
      <vt:lpstr>'12QData'!ExternalData_16</vt:lpstr>
      <vt:lpstr>HData!ExternalData_16</vt:lpstr>
      <vt:lpstr>Statistics!ExternalData_16</vt:lpstr>
      <vt:lpstr>'12QData'!ExternalData_160</vt:lpstr>
      <vt:lpstr>'12QData'!ExternalData_161</vt:lpstr>
      <vt:lpstr>'12QData'!ExternalData_162</vt:lpstr>
      <vt:lpstr>'12QData'!ExternalData_163</vt:lpstr>
      <vt:lpstr>'12QData'!ExternalData_164</vt:lpstr>
      <vt:lpstr>'12QData'!ExternalData_165</vt:lpstr>
      <vt:lpstr>'12QData'!ExternalData_166</vt:lpstr>
      <vt:lpstr>'12QData'!ExternalData_167</vt:lpstr>
      <vt:lpstr>'12QData'!ExternalData_168</vt:lpstr>
      <vt:lpstr>'12QData'!ExternalData_169</vt:lpstr>
      <vt:lpstr>'12QData'!ExternalData_17</vt:lpstr>
      <vt:lpstr>HData!ExternalData_17</vt:lpstr>
      <vt:lpstr>Statistics!ExternalData_17</vt:lpstr>
      <vt:lpstr>'12QData'!ExternalData_170</vt:lpstr>
      <vt:lpstr>'12QData'!ExternalData_171</vt:lpstr>
      <vt:lpstr>'12QData'!ExternalData_172</vt:lpstr>
      <vt:lpstr>'12QData'!ExternalData_173</vt:lpstr>
      <vt:lpstr>'12QData'!ExternalData_174</vt:lpstr>
      <vt:lpstr>'12QData'!ExternalData_175</vt:lpstr>
      <vt:lpstr>'12QData'!ExternalData_176</vt:lpstr>
      <vt:lpstr>'12QData'!ExternalData_177</vt:lpstr>
      <vt:lpstr>HData!ExternalData_177</vt:lpstr>
      <vt:lpstr>'12QData'!ExternalData_178</vt:lpstr>
      <vt:lpstr>HData!ExternalData_178</vt:lpstr>
      <vt:lpstr>'12QData'!ExternalData_179</vt:lpstr>
      <vt:lpstr>HData!ExternalData_179</vt:lpstr>
      <vt:lpstr>'12QData'!ExternalData_18</vt:lpstr>
      <vt:lpstr>HData!ExternalData_18</vt:lpstr>
      <vt:lpstr>Statistics!ExternalData_18</vt:lpstr>
      <vt:lpstr>'12QData'!ExternalData_180</vt:lpstr>
      <vt:lpstr>HData!ExternalData_180</vt:lpstr>
      <vt:lpstr>'12QData'!ExternalData_181</vt:lpstr>
      <vt:lpstr>HData!ExternalData_181</vt:lpstr>
      <vt:lpstr>'12QData'!ExternalData_182</vt:lpstr>
      <vt:lpstr>HData!ExternalData_182</vt:lpstr>
      <vt:lpstr>'12QData'!ExternalData_183</vt:lpstr>
      <vt:lpstr>HData!ExternalData_183</vt:lpstr>
      <vt:lpstr>'12QData'!ExternalData_184</vt:lpstr>
      <vt:lpstr>HData!ExternalData_184</vt:lpstr>
      <vt:lpstr>'12QData'!ExternalData_19</vt:lpstr>
      <vt:lpstr>HData!ExternalData_19</vt:lpstr>
      <vt:lpstr>Statistics!ExternalData_19</vt:lpstr>
      <vt:lpstr>'12QData'!ExternalData_2</vt:lpstr>
      <vt:lpstr>HData!ExternalData_2</vt:lpstr>
      <vt:lpstr>QData!ExternalData_2</vt:lpstr>
      <vt:lpstr>Statistics!ExternalData_2</vt:lpstr>
      <vt:lpstr>'12QData'!ExternalData_20</vt:lpstr>
      <vt:lpstr>HData!ExternalData_20</vt:lpstr>
      <vt:lpstr>Statistics!ExternalData_20</vt:lpstr>
      <vt:lpstr>'12QData'!ExternalData_21</vt:lpstr>
      <vt:lpstr>HData!ExternalData_21</vt:lpstr>
      <vt:lpstr>Statistics!ExternalData_21</vt:lpstr>
      <vt:lpstr>'12QData'!ExternalData_22</vt:lpstr>
      <vt:lpstr>HData!ExternalData_22</vt:lpstr>
      <vt:lpstr>Statistics!ExternalData_22</vt:lpstr>
      <vt:lpstr>'12QData'!ExternalData_23</vt:lpstr>
      <vt:lpstr>HData!ExternalData_23</vt:lpstr>
      <vt:lpstr>Statistics!ExternalData_23</vt:lpstr>
      <vt:lpstr>'12QData'!ExternalData_24</vt:lpstr>
      <vt:lpstr>HData!ExternalData_24</vt:lpstr>
      <vt:lpstr>Statistics!ExternalData_24</vt:lpstr>
      <vt:lpstr>'12QData'!ExternalData_25</vt:lpstr>
      <vt:lpstr>HData!ExternalData_25</vt:lpstr>
      <vt:lpstr>Statistics!ExternalData_25</vt:lpstr>
      <vt:lpstr>'12QData'!ExternalData_26</vt:lpstr>
      <vt:lpstr>HData!ExternalData_26</vt:lpstr>
      <vt:lpstr>Statistics!ExternalData_26</vt:lpstr>
      <vt:lpstr>'12QData'!ExternalData_27</vt:lpstr>
      <vt:lpstr>HData!ExternalData_27</vt:lpstr>
      <vt:lpstr>Statistics!ExternalData_27</vt:lpstr>
      <vt:lpstr>'12QData'!ExternalData_28</vt:lpstr>
      <vt:lpstr>HData!ExternalData_28</vt:lpstr>
      <vt:lpstr>Statistics!ExternalData_28</vt:lpstr>
      <vt:lpstr>'12QData'!ExternalData_29</vt:lpstr>
      <vt:lpstr>HData!ExternalData_29</vt:lpstr>
      <vt:lpstr>Statistics!ExternalData_29</vt:lpstr>
      <vt:lpstr>'12QData'!ExternalData_3</vt:lpstr>
      <vt:lpstr>HData!ExternalData_3</vt:lpstr>
      <vt:lpstr>QData!ExternalData_3</vt:lpstr>
      <vt:lpstr>Statistics!ExternalData_3</vt:lpstr>
      <vt:lpstr>'12QData'!ExternalData_30</vt:lpstr>
      <vt:lpstr>HData!ExternalData_30</vt:lpstr>
      <vt:lpstr>Statistics!ExternalData_30</vt:lpstr>
      <vt:lpstr>'12QData'!ExternalData_31</vt:lpstr>
      <vt:lpstr>HData!ExternalData_31</vt:lpstr>
      <vt:lpstr>Statistics!ExternalData_31</vt:lpstr>
      <vt:lpstr>'12QData'!ExternalData_32</vt:lpstr>
      <vt:lpstr>HData!ExternalData_32</vt:lpstr>
      <vt:lpstr>Statistics!ExternalData_32</vt:lpstr>
      <vt:lpstr>'12QData'!ExternalData_33</vt:lpstr>
      <vt:lpstr>HData!ExternalData_33</vt:lpstr>
      <vt:lpstr>Statistics!ExternalData_33</vt:lpstr>
      <vt:lpstr>'12QData'!ExternalData_34</vt:lpstr>
      <vt:lpstr>HData!ExternalData_34</vt:lpstr>
      <vt:lpstr>Statistics!ExternalData_34</vt:lpstr>
      <vt:lpstr>'12QData'!ExternalData_35</vt:lpstr>
      <vt:lpstr>HData!ExternalData_35</vt:lpstr>
      <vt:lpstr>Statistics!ExternalData_35</vt:lpstr>
      <vt:lpstr>'12QData'!ExternalData_36</vt:lpstr>
      <vt:lpstr>HData!ExternalData_36</vt:lpstr>
      <vt:lpstr>Statistics!ExternalData_36</vt:lpstr>
      <vt:lpstr>'12QData'!ExternalData_37</vt:lpstr>
      <vt:lpstr>HData!ExternalData_37</vt:lpstr>
      <vt:lpstr>Statistics!ExternalData_37</vt:lpstr>
      <vt:lpstr>'12QData'!ExternalData_38</vt:lpstr>
      <vt:lpstr>HData!ExternalData_38</vt:lpstr>
      <vt:lpstr>Statistics!ExternalData_38</vt:lpstr>
      <vt:lpstr>'12QData'!ExternalData_39</vt:lpstr>
      <vt:lpstr>HData!ExternalData_39</vt:lpstr>
      <vt:lpstr>Statistics!ExternalData_39</vt:lpstr>
      <vt:lpstr>'12QData'!ExternalData_4</vt:lpstr>
      <vt:lpstr>HData!ExternalData_4</vt:lpstr>
      <vt:lpstr>QData!ExternalData_4</vt:lpstr>
      <vt:lpstr>Statistics!ExternalData_4</vt:lpstr>
      <vt:lpstr>'12QData'!ExternalData_40</vt:lpstr>
      <vt:lpstr>HData!ExternalData_40</vt:lpstr>
      <vt:lpstr>Statistics!ExternalData_40</vt:lpstr>
      <vt:lpstr>'12QData'!ExternalData_41</vt:lpstr>
      <vt:lpstr>HData!ExternalData_41</vt:lpstr>
      <vt:lpstr>Statistics!ExternalData_41</vt:lpstr>
      <vt:lpstr>'12QData'!ExternalData_42</vt:lpstr>
      <vt:lpstr>HData!ExternalData_42</vt:lpstr>
      <vt:lpstr>Statistics!ExternalData_42</vt:lpstr>
      <vt:lpstr>'12QData'!ExternalData_43</vt:lpstr>
      <vt:lpstr>HData!ExternalData_43</vt:lpstr>
      <vt:lpstr>Statistics!ExternalData_43</vt:lpstr>
      <vt:lpstr>'12QData'!ExternalData_44</vt:lpstr>
      <vt:lpstr>HData!ExternalData_44</vt:lpstr>
      <vt:lpstr>Statistics!ExternalData_44</vt:lpstr>
      <vt:lpstr>'12QData'!ExternalData_45</vt:lpstr>
      <vt:lpstr>HData!ExternalData_45</vt:lpstr>
      <vt:lpstr>Statistics!ExternalData_45</vt:lpstr>
      <vt:lpstr>'12QData'!ExternalData_46</vt:lpstr>
      <vt:lpstr>HData!ExternalData_46</vt:lpstr>
      <vt:lpstr>Statistics!ExternalData_46</vt:lpstr>
      <vt:lpstr>'12QData'!ExternalData_47</vt:lpstr>
      <vt:lpstr>HData!ExternalData_47</vt:lpstr>
      <vt:lpstr>Statistics!ExternalData_47</vt:lpstr>
      <vt:lpstr>'12QData'!ExternalData_48</vt:lpstr>
      <vt:lpstr>HData!ExternalData_48</vt:lpstr>
      <vt:lpstr>Statistics!ExternalData_48</vt:lpstr>
      <vt:lpstr>'12QData'!ExternalData_49</vt:lpstr>
      <vt:lpstr>HData!ExternalData_49</vt:lpstr>
      <vt:lpstr>Statistics!ExternalData_49</vt:lpstr>
      <vt:lpstr>'12QData'!ExternalData_5</vt:lpstr>
      <vt:lpstr>HData!ExternalData_5</vt:lpstr>
      <vt:lpstr>Statistics!ExternalData_5</vt:lpstr>
      <vt:lpstr>'12QData'!ExternalData_50</vt:lpstr>
      <vt:lpstr>HData!ExternalData_50</vt:lpstr>
      <vt:lpstr>'12QData'!ExternalData_51</vt:lpstr>
      <vt:lpstr>HData!ExternalData_51</vt:lpstr>
      <vt:lpstr>'12QData'!ExternalData_52</vt:lpstr>
      <vt:lpstr>HData!ExternalData_52</vt:lpstr>
      <vt:lpstr>'12QData'!ExternalData_53</vt:lpstr>
      <vt:lpstr>HData!ExternalData_53</vt:lpstr>
      <vt:lpstr>'12QData'!ExternalData_54</vt:lpstr>
      <vt:lpstr>HData!ExternalData_54</vt:lpstr>
      <vt:lpstr>'12QData'!ExternalData_55</vt:lpstr>
      <vt:lpstr>HData!ExternalData_55</vt:lpstr>
      <vt:lpstr>'12QData'!ExternalData_56</vt:lpstr>
      <vt:lpstr>HData!ExternalData_56</vt:lpstr>
      <vt:lpstr>'12QData'!ExternalData_57</vt:lpstr>
      <vt:lpstr>HData!ExternalData_57</vt:lpstr>
      <vt:lpstr>'12QData'!ExternalData_58</vt:lpstr>
      <vt:lpstr>HData!ExternalData_58</vt:lpstr>
      <vt:lpstr>'12QData'!ExternalData_59</vt:lpstr>
      <vt:lpstr>HData!ExternalData_59</vt:lpstr>
      <vt:lpstr>'12QData'!ExternalData_6</vt:lpstr>
      <vt:lpstr>HData!ExternalData_6</vt:lpstr>
      <vt:lpstr>Statistics!ExternalData_6</vt:lpstr>
      <vt:lpstr>'12QData'!ExternalData_60</vt:lpstr>
      <vt:lpstr>HData!ExternalData_60</vt:lpstr>
      <vt:lpstr>'12QData'!ExternalData_61</vt:lpstr>
      <vt:lpstr>HData!ExternalData_61</vt:lpstr>
      <vt:lpstr>'12QData'!ExternalData_62</vt:lpstr>
      <vt:lpstr>HData!ExternalData_62</vt:lpstr>
      <vt:lpstr>'12QData'!ExternalData_63</vt:lpstr>
      <vt:lpstr>HData!ExternalData_63</vt:lpstr>
      <vt:lpstr>'12QData'!ExternalData_64</vt:lpstr>
      <vt:lpstr>HData!ExternalData_64</vt:lpstr>
      <vt:lpstr>'12QData'!ExternalData_65</vt:lpstr>
      <vt:lpstr>HData!ExternalData_65</vt:lpstr>
      <vt:lpstr>'12QData'!ExternalData_66</vt:lpstr>
      <vt:lpstr>HData!ExternalData_66</vt:lpstr>
      <vt:lpstr>'12QData'!ExternalData_67</vt:lpstr>
      <vt:lpstr>HData!ExternalData_67</vt:lpstr>
      <vt:lpstr>'12QData'!ExternalData_68</vt:lpstr>
      <vt:lpstr>HData!ExternalData_68</vt:lpstr>
      <vt:lpstr>'12QData'!ExternalData_69</vt:lpstr>
      <vt:lpstr>HData!ExternalData_69</vt:lpstr>
      <vt:lpstr>'12QData'!ExternalData_7</vt:lpstr>
      <vt:lpstr>HData!ExternalData_7</vt:lpstr>
      <vt:lpstr>Statistics!ExternalData_7</vt:lpstr>
      <vt:lpstr>'12QData'!ExternalData_70</vt:lpstr>
      <vt:lpstr>HData!ExternalData_70</vt:lpstr>
      <vt:lpstr>'12QData'!ExternalData_71</vt:lpstr>
      <vt:lpstr>HData!ExternalData_71</vt:lpstr>
      <vt:lpstr>'12QData'!ExternalData_72</vt:lpstr>
      <vt:lpstr>HData!ExternalData_72</vt:lpstr>
      <vt:lpstr>'12QData'!ExternalData_73</vt:lpstr>
      <vt:lpstr>HData!ExternalData_73</vt:lpstr>
      <vt:lpstr>'12QData'!ExternalData_74</vt:lpstr>
      <vt:lpstr>HData!ExternalData_74</vt:lpstr>
      <vt:lpstr>'12QData'!ExternalData_75</vt:lpstr>
      <vt:lpstr>HData!ExternalData_75</vt:lpstr>
      <vt:lpstr>'12QData'!ExternalData_76</vt:lpstr>
      <vt:lpstr>HData!ExternalData_76</vt:lpstr>
      <vt:lpstr>'12QData'!ExternalData_77</vt:lpstr>
      <vt:lpstr>HData!ExternalData_77</vt:lpstr>
      <vt:lpstr>'12QData'!ExternalData_78</vt:lpstr>
      <vt:lpstr>HData!ExternalData_78</vt:lpstr>
      <vt:lpstr>'12QData'!ExternalData_79</vt:lpstr>
      <vt:lpstr>HData!ExternalData_79</vt:lpstr>
      <vt:lpstr>'12QData'!ExternalData_8</vt:lpstr>
      <vt:lpstr>HData!ExternalData_8</vt:lpstr>
      <vt:lpstr>Statistics!ExternalData_8</vt:lpstr>
      <vt:lpstr>'12QData'!ExternalData_80</vt:lpstr>
      <vt:lpstr>HData!ExternalData_80</vt:lpstr>
      <vt:lpstr>'12QData'!ExternalData_81</vt:lpstr>
      <vt:lpstr>HData!ExternalData_81</vt:lpstr>
      <vt:lpstr>'12QData'!ExternalData_82</vt:lpstr>
      <vt:lpstr>HData!ExternalData_82</vt:lpstr>
      <vt:lpstr>'12QData'!ExternalData_83</vt:lpstr>
      <vt:lpstr>HData!ExternalData_83</vt:lpstr>
      <vt:lpstr>'12QData'!ExternalData_84</vt:lpstr>
      <vt:lpstr>HData!ExternalData_84</vt:lpstr>
      <vt:lpstr>'12QData'!ExternalData_85</vt:lpstr>
      <vt:lpstr>HData!ExternalData_85</vt:lpstr>
      <vt:lpstr>'12QData'!ExternalData_86</vt:lpstr>
      <vt:lpstr>HData!ExternalData_86</vt:lpstr>
      <vt:lpstr>'12QData'!ExternalData_87</vt:lpstr>
      <vt:lpstr>HData!ExternalData_87</vt:lpstr>
      <vt:lpstr>'12QData'!ExternalData_88</vt:lpstr>
      <vt:lpstr>HData!ExternalData_88</vt:lpstr>
      <vt:lpstr>'12QData'!ExternalData_89</vt:lpstr>
      <vt:lpstr>HData!ExternalData_89</vt:lpstr>
      <vt:lpstr>'12QData'!ExternalData_9</vt:lpstr>
      <vt:lpstr>HData!ExternalData_9</vt:lpstr>
      <vt:lpstr>Statistics!ExternalData_9</vt:lpstr>
      <vt:lpstr>'12QData'!ExternalData_90</vt:lpstr>
      <vt:lpstr>HData!ExternalData_90</vt:lpstr>
      <vt:lpstr>'12QData'!ExternalData_91</vt:lpstr>
      <vt:lpstr>HData!ExternalData_91</vt:lpstr>
      <vt:lpstr>'12QData'!ExternalData_92</vt:lpstr>
      <vt:lpstr>HData!ExternalData_92</vt:lpstr>
      <vt:lpstr>'12QData'!ExternalData_93</vt:lpstr>
      <vt:lpstr>HData!ExternalData_93</vt:lpstr>
      <vt:lpstr>'12QData'!ExternalData_94</vt:lpstr>
      <vt:lpstr>HData!ExternalData_94</vt:lpstr>
      <vt:lpstr>'12QData'!ExternalData_95</vt:lpstr>
      <vt:lpstr>HData!ExternalData_95</vt:lpstr>
      <vt:lpstr>'12QData'!ExternalData_96</vt:lpstr>
      <vt:lpstr>HData!ExternalData_96</vt:lpstr>
      <vt:lpstr>'12QData'!ExternalData_97</vt:lpstr>
      <vt:lpstr>HData!ExternalData_97</vt:lpstr>
      <vt:lpstr>'12QData'!ExternalData_98</vt:lpstr>
      <vt:lpstr>HData!ExternalData_98</vt:lpstr>
      <vt:lpstr>'12QData'!ExternalData_99</vt:lpstr>
      <vt:lpstr>HData!ExternalData_99</vt:lpstr>
      <vt:lpstr>QData!Financials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Thomson Corvin</dc:creator>
  <cp:lastModifiedBy>Thomson Corvin</cp:lastModifiedBy>
  <dcterms:created xsi:type="dcterms:W3CDTF">2025-03-04T03:32:34Z</dcterms:created>
  <dcterms:modified xsi:type="dcterms:W3CDTF">2025-07-31T15:45:01Z</dcterms:modified>
</cp:coreProperties>
</file>